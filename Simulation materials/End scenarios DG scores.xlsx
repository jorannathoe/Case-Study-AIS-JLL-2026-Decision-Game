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3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rannathoe/Library/Mobile Documents/com~apple~CloudDocs/Archival &amp; Information Studies/Case Study Project/"/>
    </mc:Choice>
  </mc:AlternateContent>
  <xr:revisionPtr revIDLastSave="0" documentId="13_ncr:1_{45DE730A-00D0-8F43-BCA7-78AAE46A05B3}" xr6:coauthVersionLast="47" xr6:coauthVersionMax="47" xr10:uidLastSave="{00000000-0000-0000-0000-000000000000}"/>
  <bookViews>
    <workbookView xWindow="4420" yWindow="780" windowWidth="29900" windowHeight="20360" xr2:uid="{0036D311-5E52-FC4A-804B-92A72D8E0998}"/>
  </bookViews>
  <sheets>
    <sheet name="Data" sheetId="1" r:id="rId1"/>
    <sheet name="Diagrams B" sheetId="17" r:id="rId2"/>
    <sheet name="Diagram A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C2" i="1"/>
  <c r="D2" i="1"/>
  <c r="E2" i="1"/>
  <c r="F2" i="1"/>
  <c r="B3" i="1"/>
  <c r="C3" i="1"/>
  <c r="D3" i="1"/>
  <c r="E3" i="1"/>
  <c r="F3" i="1"/>
  <c r="B4" i="1"/>
  <c r="C4" i="1"/>
  <c r="D4" i="1"/>
  <c r="E4" i="1"/>
  <c r="F4" i="1"/>
  <c r="B5" i="1"/>
  <c r="C5" i="1"/>
  <c r="D5" i="1"/>
  <c r="E5" i="1"/>
  <c r="F5" i="1"/>
  <c r="B6" i="1"/>
  <c r="C6" i="1"/>
  <c r="D6" i="1"/>
  <c r="E6" i="1"/>
  <c r="F6" i="1"/>
  <c r="B7" i="1"/>
  <c r="C7" i="1"/>
  <c r="D7" i="1"/>
  <c r="E7" i="1"/>
  <c r="F7" i="1"/>
  <c r="B8" i="1"/>
  <c r="C8" i="1"/>
  <c r="D8" i="1"/>
  <c r="E8" i="1"/>
  <c r="F8" i="1"/>
  <c r="B9" i="1"/>
  <c r="C9" i="1"/>
  <c r="D9" i="1"/>
  <c r="E9" i="1"/>
  <c r="F9" i="1"/>
  <c r="B10" i="1"/>
  <c r="C10" i="1"/>
  <c r="D10" i="1"/>
  <c r="E10" i="1"/>
  <c r="F10" i="1"/>
  <c r="B11" i="1"/>
  <c r="C11" i="1"/>
  <c r="D11" i="1"/>
  <c r="E11" i="1"/>
  <c r="F11" i="1"/>
  <c r="B12" i="1"/>
  <c r="C12" i="1"/>
  <c r="D12" i="1"/>
  <c r="E12" i="1"/>
  <c r="F12" i="1"/>
  <c r="B13" i="1"/>
  <c r="C13" i="1"/>
  <c r="D13" i="1"/>
  <c r="E13" i="1"/>
  <c r="F13" i="1"/>
  <c r="B14" i="1"/>
  <c r="C14" i="1"/>
  <c r="D14" i="1"/>
  <c r="E14" i="1"/>
  <c r="F14" i="1"/>
  <c r="B15" i="1"/>
  <c r="C15" i="1"/>
  <c r="D15" i="1"/>
  <c r="E15" i="1"/>
  <c r="F15" i="1"/>
  <c r="B16" i="1"/>
  <c r="C16" i="1"/>
  <c r="D16" i="1"/>
  <c r="E16" i="1"/>
  <c r="F16" i="1"/>
  <c r="B17" i="1"/>
  <c r="C17" i="1"/>
  <c r="D17" i="1"/>
  <c r="E17" i="1"/>
  <c r="F17" i="1"/>
  <c r="K17" i="1"/>
  <c r="L17" i="1"/>
  <c r="M17" i="1"/>
  <c r="N17" i="1"/>
  <c r="J17" i="1"/>
  <c r="K16" i="1"/>
  <c r="L16" i="1"/>
  <c r="M16" i="1"/>
  <c r="N16" i="1"/>
  <c r="J16" i="1"/>
  <c r="K15" i="1"/>
  <c r="L15" i="1"/>
  <c r="M15" i="1"/>
  <c r="N15" i="1"/>
  <c r="J15" i="1"/>
  <c r="K14" i="1"/>
  <c r="L14" i="1"/>
  <c r="M14" i="1"/>
  <c r="N14" i="1"/>
  <c r="J14" i="1"/>
  <c r="K13" i="1"/>
  <c r="L13" i="1"/>
  <c r="M13" i="1"/>
  <c r="N13" i="1"/>
  <c r="J13" i="1"/>
  <c r="K12" i="1"/>
  <c r="L12" i="1"/>
  <c r="M12" i="1"/>
  <c r="N12" i="1"/>
  <c r="J12" i="1"/>
  <c r="K11" i="1"/>
  <c r="L11" i="1"/>
  <c r="M11" i="1"/>
  <c r="N11" i="1"/>
  <c r="J11" i="1"/>
  <c r="K10" i="1"/>
  <c r="L10" i="1"/>
  <c r="M10" i="1"/>
  <c r="N10" i="1"/>
  <c r="J10" i="1"/>
  <c r="K9" i="1"/>
  <c r="L9" i="1"/>
  <c r="M9" i="1"/>
  <c r="N9" i="1"/>
  <c r="J9" i="1"/>
  <c r="K8" i="1"/>
  <c r="L8" i="1"/>
  <c r="M8" i="1"/>
  <c r="N8" i="1"/>
  <c r="J8" i="1"/>
  <c r="K7" i="1"/>
  <c r="L7" i="1"/>
  <c r="M7" i="1"/>
  <c r="N7" i="1"/>
  <c r="J7" i="1"/>
  <c r="K6" i="1"/>
  <c r="L6" i="1"/>
  <c r="M6" i="1"/>
  <c r="N6" i="1"/>
  <c r="J6" i="1"/>
  <c r="K5" i="1"/>
  <c r="L5" i="1"/>
  <c r="M5" i="1"/>
  <c r="N5" i="1"/>
  <c r="J5" i="1"/>
  <c r="K4" i="1"/>
  <c r="L4" i="1"/>
  <c r="M4" i="1"/>
  <c r="N4" i="1"/>
  <c r="J4" i="1"/>
  <c r="K3" i="1"/>
  <c r="L3" i="1"/>
  <c r="M3" i="1"/>
  <c r="N3" i="1"/>
  <c r="J3" i="1"/>
  <c r="N2" i="1"/>
  <c r="K2" i="1"/>
  <c r="L2" i="1"/>
  <c r="M2" i="1"/>
  <c r="J2" i="1"/>
</calcChain>
</file>

<file path=xl/sharedStrings.xml><?xml version="1.0" encoding="utf-8"?>
<sst xmlns="http://schemas.openxmlformats.org/spreadsheetml/2006/main" count="270" uniqueCount="56">
  <si>
    <t>Ethics</t>
  </si>
  <si>
    <t>Sustainability</t>
  </si>
  <si>
    <t>Legality</t>
  </si>
  <si>
    <t>Transparency</t>
  </si>
  <si>
    <t>Completeness</t>
  </si>
  <si>
    <t>1A</t>
  </si>
  <si>
    <t>1B</t>
  </si>
  <si>
    <t>2A</t>
  </si>
  <si>
    <t>2B</t>
  </si>
  <si>
    <t>3A</t>
  </si>
  <si>
    <t>3B</t>
  </si>
  <si>
    <t>4A</t>
  </si>
  <si>
    <t>4B</t>
  </si>
  <si>
    <t>Start</t>
  </si>
  <si>
    <t>Balanced</t>
  </si>
  <si>
    <t>A</t>
  </si>
  <si>
    <t>B</t>
  </si>
  <si>
    <t>News Media</t>
  </si>
  <si>
    <t>News + Social</t>
  </si>
  <si>
    <t>Crawler</t>
  </si>
  <si>
    <t>Human curation</t>
  </si>
  <si>
    <t>Interlinking</t>
  </si>
  <si>
    <t>Community participation</t>
  </si>
  <si>
    <t>Restricted + method focus</t>
  </si>
  <si>
    <t>Public + content focus</t>
  </si>
  <si>
    <t>V (AAAA)</t>
  </si>
  <si>
    <t>VI (AAAB)</t>
  </si>
  <si>
    <t>VIII (AABA)</t>
  </si>
  <si>
    <t>IX (AABB)</t>
  </si>
  <si>
    <t>XII (ABAA)</t>
  </si>
  <si>
    <t>XIII (ABAB)</t>
  </si>
  <si>
    <t>XV (ABBA)</t>
  </si>
  <si>
    <t>XVI (ABBB)</t>
  </si>
  <si>
    <t>XX (BAAB)</t>
  </si>
  <si>
    <t>XXI (BAAA)</t>
  </si>
  <si>
    <t>XXIII (BABA)</t>
  </si>
  <si>
    <t>XXIV (BABB)</t>
  </si>
  <si>
    <t>XXVII (BBAA)</t>
  </si>
  <si>
    <t>XXVIII (BBAB)</t>
  </si>
  <si>
    <t>XXX (BBBA)</t>
  </si>
  <si>
    <t>XXXI (BBBB)</t>
  </si>
  <si>
    <t>Original</t>
  </si>
  <si>
    <t>Yes</t>
  </si>
  <si>
    <t>score check</t>
  </si>
  <si>
    <t>graph check</t>
  </si>
  <si>
    <t>Scope</t>
  </si>
  <si>
    <t>Method</t>
  </si>
  <si>
    <t xml:space="preserve">Public </t>
  </si>
  <si>
    <t>Restricted</t>
  </si>
  <si>
    <t>Human curation + data envelope</t>
  </si>
  <si>
    <t>Crawler + Black-Box</t>
  </si>
  <si>
    <t>Institutional linking - Community participation</t>
  </si>
  <si>
    <t xml:space="preserve">Accessibility </t>
  </si>
  <si>
    <t>Final check desktop</t>
  </si>
  <si>
    <t>Final check mobile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</si>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</sst>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theme="5"/>
      <name val="Aptos Narrow"/>
      <family val="2"/>
      <scheme val="minor"/>
    </font>
    <font>
      <sz val="12"/>
      <color theme="9"/>
      <name val="Aptos Narrow"/>
      <family val="2"/>
      <scheme val="minor"/>
    </font>
    <font>
      <sz val="12"/>
      <color theme="7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4"/>
      <name val="Aptos Narrow"/>
      <family val="2"/>
      <scheme val="minor"/>
    </font>
    <font>
      <sz val="12"/>
      <color rgb="FFEFE427"/>
      <name val="Aptos Narrow"/>
      <family val="2"/>
      <scheme val="minor"/>
    </font>
    <font>
      <sz val="12"/>
      <color rgb="FFFFC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1" xfId="0" applyBorder="1"/>
    <xf numFmtId="0" fontId="1" fillId="0" borderId="1" xfId="0" applyFont="1" applyBorder="1"/>
    <xf numFmtId="0" fontId="2" fillId="0" borderId="1" xfId="0" applyFont="1" applyBorder="1"/>
    <xf numFmtId="0" fontId="0" fillId="2" borderId="1" xfId="0" applyFill="1" applyBorder="1"/>
    <xf numFmtId="0" fontId="3" fillId="0" borderId="1" xfId="0" applyFont="1" applyBorder="1"/>
    <xf numFmtId="0" fontId="4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0" fillId="0" borderId="2" xfId="0" applyBorder="1"/>
    <xf numFmtId="0" fontId="8" fillId="0" borderId="0" xfId="0" applyFont="1"/>
    <xf numFmtId="0" fontId="8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FE427"/>
      <color rgb="FFFFF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Data!$I$17</c:f>
              <c:strCache>
                <c:ptCount val="1"/>
                <c:pt idx="0">
                  <c:v>XXXI (BBBB)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Data!$J$1:$N$1</c:f>
              <c:strCache>
                <c:ptCount val="5"/>
                <c:pt idx="0">
                  <c:v>Ethics</c:v>
                </c:pt>
                <c:pt idx="1">
                  <c:v>Sustainability</c:v>
                </c:pt>
                <c:pt idx="2">
                  <c:v>Legality</c:v>
                </c:pt>
                <c:pt idx="3">
                  <c:v>Transparency</c:v>
                </c:pt>
                <c:pt idx="4">
                  <c:v>Completeness</c:v>
                </c:pt>
              </c:strCache>
            </c:strRef>
          </c:cat>
          <c:val>
            <c:numRef>
              <c:f>Data!$J$17:$N$17</c:f>
              <c:numCache>
                <c:formatCode>General</c:formatCode>
                <c:ptCount val="5"/>
                <c:pt idx="0">
                  <c:v>5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3E-A048-9376-39192CAC60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2923327"/>
        <c:axId val="692912575"/>
      </c:radarChart>
      <c:catAx>
        <c:axId val="692923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692912575"/>
        <c:crosses val="autoZero"/>
        <c:auto val="1"/>
        <c:lblAlgn val="ctr"/>
        <c:lblOffset val="100"/>
        <c:noMultiLvlLbl val="0"/>
      </c:catAx>
      <c:valAx>
        <c:axId val="692912575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6929233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XX (BAAB)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Data!$H$10:$I$10</c:f>
              <c:strCache>
                <c:ptCount val="2"/>
                <c:pt idx="0">
                  <c:v>9</c:v>
                </c:pt>
                <c:pt idx="1">
                  <c:v>XX (BAAB)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Data!$J$1:$N$1</c:f>
              <c:strCache>
                <c:ptCount val="5"/>
                <c:pt idx="0">
                  <c:v>Ethics</c:v>
                </c:pt>
                <c:pt idx="1">
                  <c:v>Sustainability</c:v>
                </c:pt>
                <c:pt idx="2">
                  <c:v>Legality</c:v>
                </c:pt>
                <c:pt idx="3">
                  <c:v>Transparency</c:v>
                </c:pt>
                <c:pt idx="4">
                  <c:v>Completeness</c:v>
                </c:pt>
              </c:strCache>
            </c:strRef>
          </c:cat>
          <c:val>
            <c:numRef>
              <c:f>Data!$J$10:$N$10</c:f>
              <c:numCache>
                <c:formatCode>General</c:formatCode>
                <c:ptCount val="5"/>
                <c:pt idx="0">
                  <c:v>1</c:v>
                </c:pt>
                <c:pt idx="1">
                  <c:v>5</c:v>
                </c:pt>
                <c:pt idx="2">
                  <c:v>3</c:v>
                </c:pt>
                <c:pt idx="3">
                  <c:v>2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9E-2C49-A614-60F14BDA93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7973055"/>
        <c:axId val="584390335"/>
      </c:radarChart>
      <c:catAx>
        <c:axId val="647973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584390335"/>
        <c:crosses val="autoZero"/>
        <c:auto val="1"/>
        <c:lblAlgn val="ctr"/>
        <c:lblOffset val="100"/>
        <c:noMultiLvlLbl val="0"/>
      </c:catAx>
      <c:valAx>
        <c:axId val="584390335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647973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Data!$I$11</c:f>
              <c:strCache>
                <c:ptCount val="1"/>
                <c:pt idx="0">
                  <c:v>XXI (BAAA)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Data!$J$1:$N$1</c:f>
              <c:strCache>
                <c:ptCount val="5"/>
                <c:pt idx="0">
                  <c:v>Ethics</c:v>
                </c:pt>
                <c:pt idx="1">
                  <c:v>Sustainability</c:v>
                </c:pt>
                <c:pt idx="2">
                  <c:v>Legality</c:v>
                </c:pt>
                <c:pt idx="3">
                  <c:v>Transparency</c:v>
                </c:pt>
                <c:pt idx="4">
                  <c:v>Completeness</c:v>
                </c:pt>
              </c:strCache>
            </c:strRef>
          </c:cat>
          <c:val>
            <c:numRef>
              <c:f>Data!$J$11:$N$11</c:f>
              <c:numCache>
                <c:formatCode>General</c:formatCode>
                <c:ptCount val="5"/>
                <c:pt idx="0">
                  <c:v>3</c:v>
                </c:pt>
                <c:pt idx="1">
                  <c:v>3</c:v>
                </c:pt>
                <c:pt idx="2">
                  <c:v>1</c:v>
                </c:pt>
                <c:pt idx="3">
                  <c:v>4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36-2F44-8C08-13ABE8489E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807935"/>
        <c:axId val="694808831"/>
      </c:radarChart>
      <c:catAx>
        <c:axId val="694807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694808831"/>
        <c:crosses val="autoZero"/>
        <c:auto val="1"/>
        <c:lblAlgn val="ctr"/>
        <c:lblOffset val="100"/>
        <c:noMultiLvlLbl val="0"/>
      </c:catAx>
      <c:valAx>
        <c:axId val="69480883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694807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Data!$I$12</c:f>
              <c:strCache>
                <c:ptCount val="1"/>
                <c:pt idx="0">
                  <c:v>XXIII (BABA)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Data!$J$1:$N$1</c:f>
              <c:strCache>
                <c:ptCount val="5"/>
                <c:pt idx="0">
                  <c:v>Ethics</c:v>
                </c:pt>
                <c:pt idx="1">
                  <c:v>Sustainability</c:v>
                </c:pt>
                <c:pt idx="2">
                  <c:v>Legality</c:v>
                </c:pt>
                <c:pt idx="3">
                  <c:v>Transparency</c:v>
                </c:pt>
                <c:pt idx="4">
                  <c:v>Completeness</c:v>
                </c:pt>
              </c:strCache>
            </c:strRef>
          </c:cat>
          <c:val>
            <c:numRef>
              <c:f>Data!$J$12:$N$12</c:f>
              <c:numCache>
                <c:formatCode>General</c:formatCode>
                <c:ptCount val="5"/>
                <c:pt idx="0">
                  <c:v>5</c:v>
                </c:pt>
                <c:pt idx="1">
                  <c:v>1</c:v>
                </c:pt>
                <c:pt idx="2">
                  <c:v>1</c:v>
                </c:pt>
                <c:pt idx="3">
                  <c:v>5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AB-4E4E-9150-82B1B4CCEE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805695"/>
        <c:axId val="694802559"/>
      </c:radarChart>
      <c:catAx>
        <c:axId val="694805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694802559"/>
        <c:crosses val="autoZero"/>
        <c:auto val="1"/>
        <c:lblAlgn val="ctr"/>
        <c:lblOffset val="100"/>
        <c:noMultiLvlLbl val="0"/>
      </c:catAx>
      <c:valAx>
        <c:axId val="694802559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694805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Data!$I$13</c:f>
              <c:strCache>
                <c:ptCount val="1"/>
                <c:pt idx="0">
                  <c:v>XXIV (BABB)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Data!$J$1:$N$1</c:f>
              <c:strCache>
                <c:ptCount val="5"/>
                <c:pt idx="0">
                  <c:v>Ethics</c:v>
                </c:pt>
                <c:pt idx="1">
                  <c:v>Sustainability</c:v>
                </c:pt>
                <c:pt idx="2">
                  <c:v>Legality</c:v>
                </c:pt>
                <c:pt idx="3">
                  <c:v>Transparency</c:v>
                </c:pt>
                <c:pt idx="4">
                  <c:v>Completeness</c:v>
                </c:pt>
              </c:strCache>
            </c:strRef>
          </c:cat>
          <c:val>
            <c:numRef>
              <c:f>Data!$J$13:$N$13</c:f>
              <c:numCache>
                <c:formatCode>General</c:formatCode>
                <c:ptCount val="5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37-124E-8F1B-A17EF228D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847679"/>
        <c:axId val="694852607"/>
      </c:radarChart>
      <c:catAx>
        <c:axId val="694847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694852607"/>
        <c:crosses val="autoZero"/>
        <c:auto val="1"/>
        <c:lblAlgn val="ctr"/>
        <c:lblOffset val="100"/>
        <c:noMultiLvlLbl val="0"/>
      </c:catAx>
      <c:valAx>
        <c:axId val="69485260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694847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Data!$I$14</c:f>
              <c:strCache>
                <c:ptCount val="1"/>
                <c:pt idx="0">
                  <c:v>XXVII (BBAA)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Data!$J$1:$N$1</c:f>
              <c:strCache>
                <c:ptCount val="5"/>
                <c:pt idx="0">
                  <c:v>Ethics</c:v>
                </c:pt>
                <c:pt idx="1">
                  <c:v>Sustainability</c:v>
                </c:pt>
                <c:pt idx="2">
                  <c:v>Legality</c:v>
                </c:pt>
                <c:pt idx="3">
                  <c:v>Transparency</c:v>
                </c:pt>
                <c:pt idx="4">
                  <c:v>Completeness</c:v>
                </c:pt>
              </c:strCache>
            </c:strRef>
          </c:cat>
          <c:val>
            <c:numRef>
              <c:f>Data!$J$14:$N$14</c:f>
              <c:numCache>
                <c:formatCode>General</c:formatCode>
                <c:ptCount val="5"/>
                <c:pt idx="0">
                  <c:v>5</c:v>
                </c:pt>
                <c:pt idx="1">
                  <c:v>1</c:v>
                </c:pt>
                <c:pt idx="2">
                  <c:v>1</c:v>
                </c:pt>
                <c:pt idx="3">
                  <c:v>6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A8-0844-97FE-C725B52DF8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8025791"/>
        <c:axId val="570280575"/>
      </c:radarChart>
      <c:catAx>
        <c:axId val="558025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570280575"/>
        <c:crosses val="autoZero"/>
        <c:auto val="1"/>
        <c:lblAlgn val="ctr"/>
        <c:lblOffset val="100"/>
        <c:noMultiLvlLbl val="0"/>
      </c:catAx>
      <c:valAx>
        <c:axId val="570280575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5580257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Data!$I$15</c:f>
              <c:strCache>
                <c:ptCount val="1"/>
                <c:pt idx="0">
                  <c:v>XXVIII (BBAB)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Data!$J$1:$N$1</c:f>
              <c:strCache>
                <c:ptCount val="5"/>
                <c:pt idx="0">
                  <c:v>Ethics</c:v>
                </c:pt>
                <c:pt idx="1">
                  <c:v>Sustainability</c:v>
                </c:pt>
                <c:pt idx="2">
                  <c:v>Legality</c:v>
                </c:pt>
                <c:pt idx="3">
                  <c:v>Transparency</c:v>
                </c:pt>
                <c:pt idx="4">
                  <c:v>Completeness</c:v>
                </c:pt>
              </c:strCache>
            </c:strRef>
          </c:cat>
          <c:val>
            <c:numRef>
              <c:f>Data!$J$15:$N$15</c:f>
              <c:numCache>
                <c:formatCode>General</c:formatCode>
                <c:ptCount val="5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22-6640-8A94-8322664628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565695"/>
        <c:axId val="647985599"/>
      </c:radarChart>
      <c:catAx>
        <c:axId val="96565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647985599"/>
        <c:crosses val="autoZero"/>
        <c:auto val="1"/>
        <c:lblAlgn val="ctr"/>
        <c:lblOffset val="100"/>
        <c:noMultiLvlLbl val="0"/>
      </c:catAx>
      <c:valAx>
        <c:axId val="647985599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96565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Data!$I$16</c:f>
              <c:strCache>
                <c:ptCount val="1"/>
                <c:pt idx="0">
                  <c:v>XXX (BBBA)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Data!$J$1:$N$1</c:f>
              <c:strCache>
                <c:ptCount val="5"/>
                <c:pt idx="0">
                  <c:v>Ethics</c:v>
                </c:pt>
                <c:pt idx="1">
                  <c:v>Sustainability</c:v>
                </c:pt>
                <c:pt idx="2">
                  <c:v>Legality</c:v>
                </c:pt>
                <c:pt idx="3">
                  <c:v>Transparency</c:v>
                </c:pt>
                <c:pt idx="4">
                  <c:v>Completeness</c:v>
                </c:pt>
              </c:strCache>
            </c:strRef>
          </c:cat>
          <c:val>
            <c:numRef>
              <c:f>Data!$J$16:$N$16</c:f>
              <c:numCache>
                <c:formatCode>General</c:formatCode>
                <c:ptCount val="5"/>
                <c:pt idx="0">
                  <c:v>7</c:v>
                </c:pt>
                <c:pt idx="1">
                  <c:v>-1</c:v>
                </c:pt>
                <c:pt idx="2">
                  <c:v>1</c:v>
                </c:pt>
                <c:pt idx="3">
                  <c:v>7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60-954F-999C-9ADAD774CD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4137151"/>
        <c:axId val="584131327"/>
      </c:radarChart>
      <c:catAx>
        <c:axId val="584137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584131327"/>
        <c:crosses val="autoZero"/>
        <c:auto val="1"/>
        <c:lblAlgn val="ctr"/>
        <c:lblOffset val="100"/>
        <c:noMultiLvlLbl val="0"/>
      </c:catAx>
      <c:valAx>
        <c:axId val="58413132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584137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Data!$I$17</c:f>
              <c:strCache>
                <c:ptCount val="1"/>
                <c:pt idx="0">
                  <c:v>XXXI (BBBB)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Data!$J$1:$N$1</c:f>
              <c:strCache>
                <c:ptCount val="5"/>
                <c:pt idx="0">
                  <c:v>Ethics</c:v>
                </c:pt>
                <c:pt idx="1">
                  <c:v>Sustainability</c:v>
                </c:pt>
                <c:pt idx="2">
                  <c:v>Legality</c:v>
                </c:pt>
                <c:pt idx="3">
                  <c:v>Transparency</c:v>
                </c:pt>
                <c:pt idx="4">
                  <c:v>Completeness</c:v>
                </c:pt>
              </c:strCache>
            </c:strRef>
          </c:cat>
          <c:val>
            <c:numRef>
              <c:f>Data!$J$17:$N$17</c:f>
              <c:numCache>
                <c:formatCode>General</c:formatCode>
                <c:ptCount val="5"/>
                <c:pt idx="0">
                  <c:v>5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61-C942-AE1A-0DAC5326D1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2923327"/>
        <c:axId val="692912575"/>
      </c:radarChart>
      <c:catAx>
        <c:axId val="692923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692912575"/>
        <c:crosses val="autoZero"/>
        <c:auto val="1"/>
        <c:lblAlgn val="ctr"/>
        <c:lblOffset val="100"/>
        <c:noMultiLvlLbl val="0"/>
      </c:catAx>
      <c:valAx>
        <c:axId val="692912575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6929233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Data!$I$2</c:f>
              <c:strCache>
                <c:ptCount val="1"/>
                <c:pt idx="0">
                  <c:v>V (AAAA)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Data!$J$1:$N$1</c:f>
              <c:strCache>
                <c:ptCount val="5"/>
                <c:pt idx="0">
                  <c:v>Ethics</c:v>
                </c:pt>
                <c:pt idx="1">
                  <c:v>Sustainability</c:v>
                </c:pt>
                <c:pt idx="2">
                  <c:v>Legality</c:v>
                </c:pt>
                <c:pt idx="3">
                  <c:v>Transparency</c:v>
                </c:pt>
                <c:pt idx="4">
                  <c:v>Completeness</c:v>
                </c:pt>
              </c:strCache>
            </c:strRef>
          </c:cat>
          <c:val>
            <c:numRef>
              <c:f>Data!$J$2:$N$2</c:f>
              <c:numCache>
                <c:formatCode>General</c:formatCode>
                <c:ptCount val="5"/>
                <c:pt idx="0">
                  <c:v>3</c:v>
                </c:pt>
                <c:pt idx="1">
                  <c:v>7</c:v>
                </c:pt>
                <c:pt idx="2">
                  <c:v>5</c:v>
                </c:pt>
                <c:pt idx="3">
                  <c:v>4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8D-CF42-B64F-54C4896AE4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6809855"/>
        <c:axId val="584172863"/>
      </c:radarChart>
      <c:catAx>
        <c:axId val="446809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584172863"/>
        <c:crosses val="autoZero"/>
        <c:auto val="1"/>
        <c:lblAlgn val="ctr"/>
        <c:lblOffset val="100"/>
        <c:noMultiLvlLbl val="0"/>
      </c:catAx>
      <c:valAx>
        <c:axId val="5841728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4468098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Data!$I$3</c:f>
              <c:strCache>
                <c:ptCount val="1"/>
                <c:pt idx="0">
                  <c:v>VI (AAAB)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Data!$J$1:$N$1</c:f>
              <c:strCache>
                <c:ptCount val="5"/>
                <c:pt idx="0">
                  <c:v>Ethics</c:v>
                </c:pt>
                <c:pt idx="1">
                  <c:v>Sustainability</c:v>
                </c:pt>
                <c:pt idx="2">
                  <c:v>Legality</c:v>
                </c:pt>
                <c:pt idx="3">
                  <c:v>Transparency</c:v>
                </c:pt>
                <c:pt idx="4">
                  <c:v>Completeness</c:v>
                </c:pt>
              </c:strCache>
            </c:strRef>
          </c:cat>
          <c:val>
            <c:numRef>
              <c:f>Data!$J$3:$N$3</c:f>
              <c:numCache>
                <c:formatCode>General</c:formatCode>
                <c:ptCount val="5"/>
                <c:pt idx="0">
                  <c:v>1</c:v>
                </c:pt>
                <c:pt idx="1">
                  <c:v>9</c:v>
                </c:pt>
                <c:pt idx="2">
                  <c:v>7</c:v>
                </c:pt>
                <c:pt idx="3">
                  <c:v>2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E0-404F-A9A2-E4C0CF07B4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6814335"/>
        <c:axId val="570362943"/>
      </c:radarChart>
      <c:catAx>
        <c:axId val="446814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570362943"/>
        <c:crosses val="autoZero"/>
        <c:auto val="1"/>
        <c:lblAlgn val="ctr"/>
        <c:lblOffset val="100"/>
        <c:noMultiLvlLbl val="0"/>
      </c:catAx>
      <c:valAx>
        <c:axId val="57036294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446814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Data!$I$4</c:f>
              <c:strCache>
                <c:ptCount val="1"/>
                <c:pt idx="0">
                  <c:v>VIII (AABA)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Data!$J$1:$N$1</c:f>
              <c:strCache>
                <c:ptCount val="5"/>
                <c:pt idx="0">
                  <c:v>Ethics</c:v>
                </c:pt>
                <c:pt idx="1">
                  <c:v>Sustainability</c:v>
                </c:pt>
                <c:pt idx="2">
                  <c:v>Legality</c:v>
                </c:pt>
                <c:pt idx="3">
                  <c:v>Transparency</c:v>
                </c:pt>
                <c:pt idx="4">
                  <c:v>Completeness</c:v>
                </c:pt>
              </c:strCache>
            </c:strRef>
          </c:cat>
          <c:val>
            <c:numRef>
              <c:f>Data!$J$4:$N$4</c:f>
              <c:numCache>
                <c:formatCode>General</c:formatCode>
                <c:ptCount val="5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1B-D548-9A98-E1EBE5E891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7751807"/>
        <c:axId val="447745535"/>
      </c:radarChart>
      <c:catAx>
        <c:axId val="447751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447745535"/>
        <c:crosses val="autoZero"/>
        <c:auto val="1"/>
        <c:lblAlgn val="ctr"/>
        <c:lblOffset val="100"/>
        <c:noMultiLvlLbl val="0"/>
      </c:catAx>
      <c:valAx>
        <c:axId val="447745535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447751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Data!$I$5</c:f>
              <c:strCache>
                <c:ptCount val="1"/>
                <c:pt idx="0">
                  <c:v>IX (AABB)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Data!$J$1:$N$1</c:f>
              <c:strCache>
                <c:ptCount val="5"/>
                <c:pt idx="0">
                  <c:v>Ethics</c:v>
                </c:pt>
                <c:pt idx="1">
                  <c:v>Sustainability</c:v>
                </c:pt>
                <c:pt idx="2">
                  <c:v>Legality</c:v>
                </c:pt>
                <c:pt idx="3">
                  <c:v>Transparency</c:v>
                </c:pt>
                <c:pt idx="4">
                  <c:v>Completeness</c:v>
                </c:pt>
              </c:strCache>
            </c:strRef>
          </c:cat>
          <c:val>
            <c:numRef>
              <c:f>Data!$J$5:$N$5</c:f>
              <c:numCache>
                <c:formatCode>General</c:formatCode>
                <c:ptCount val="5"/>
                <c:pt idx="0">
                  <c:v>3</c:v>
                </c:pt>
                <c:pt idx="1">
                  <c:v>7</c:v>
                </c:pt>
                <c:pt idx="2">
                  <c:v>7</c:v>
                </c:pt>
                <c:pt idx="3">
                  <c:v>3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6E-1047-A778-E8DCB87386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4173311"/>
        <c:axId val="584132671"/>
      </c:radarChart>
      <c:catAx>
        <c:axId val="584173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584132671"/>
        <c:crosses val="autoZero"/>
        <c:auto val="1"/>
        <c:lblAlgn val="ctr"/>
        <c:lblOffset val="100"/>
        <c:noMultiLvlLbl val="0"/>
      </c:catAx>
      <c:valAx>
        <c:axId val="58413267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584173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Data!$I$6</c:f>
              <c:strCache>
                <c:ptCount val="1"/>
                <c:pt idx="0">
                  <c:v>XII (ABAA)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Data!$J$1:$N$1</c:f>
              <c:strCache>
                <c:ptCount val="5"/>
                <c:pt idx="0">
                  <c:v>Ethics</c:v>
                </c:pt>
                <c:pt idx="1">
                  <c:v>Sustainability</c:v>
                </c:pt>
                <c:pt idx="2">
                  <c:v>Legality</c:v>
                </c:pt>
                <c:pt idx="3">
                  <c:v>Transparency</c:v>
                </c:pt>
                <c:pt idx="4">
                  <c:v>Completeness</c:v>
                </c:pt>
              </c:strCache>
            </c:strRef>
          </c:cat>
          <c:val>
            <c:numRef>
              <c:f>Data!$J$6:$N$6</c:f>
              <c:numCache>
                <c:formatCode>General</c:formatCode>
                <c:ptCount val="5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6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96-3D40-804B-7DB14983A8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6817023"/>
        <c:axId val="92691903"/>
      </c:radarChart>
      <c:catAx>
        <c:axId val="446817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92691903"/>
        <c:crosses val="autoZero"/>
        <c:auto val="1"/>
        <c:lblAlgn val="ctr"/>
        <c:lblOffset val="100"/>
        <c:noMultiLvlLbl val="0"/>
      </c:catAx>
      <c:valAx>
        <c:axId val="9269190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4468170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Data!$I$7</c:f>
              <c:strCache>
                <c:ptCount val="1"/>
                <c:pt idx="0">
                  <c:v>XIII (ABAB)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Data!$J$1:$N$1</c:f>
              <c:strCache>
                <c:ptCount val="5"/>
                <c:pt idx="0">
                  <c:v>Ethics</c:v>
                </c:pt>
                <c:pt idx="1">
                  <c:v>Sustainability</c:v>
                </c:pt>
                <c:pt idx="2">
                  <c:v>Legality</c:v>
                </c:pt>
                <c:pt idx="3">
                  <c:v>Transparency</c:v>
                </c:pt>
                <c:pt idx="4">
                  <c:v>Completeness</c:v>
                </c:pt>
              </c:strCache>
            </c:strRef>
          </c:cat>
          <c:val>
            <c:numRef>
              <c:f>Data!$J$7:$N$7</c:f>
              <c:numCache>
                <c:formatCode>General</c:formatCode>
                <c:ptCount val="5"/>
                <c:pt idx="0">
                  <c:v>3</c:v>
                </c:pt>
                <c:pt idx="1">
                  <c:v>7</c:v>
                </c:pt>
                <c:pt idx="2">
                  <c:v>7</c:v>
                </c:pt>
                <c:pt idx="3">
                  <c:v>4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42-3A4F-A3A5-404F110A7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7253567"/>
        <c:axId val="447256703"/>
      </c:radarChart>
      <c:catAx>
        <c:axId val="447253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447256703"/>
        <c:crosses val="autoZero"/>
        <c:auto val="1"/>
        <c:lblAlgn val="ctr"/>
        <c:lblOffset val="100"/>
        <c:noMultiLvlLbl val="0"/>
      </c:catAx>
      <c:valAx>
        <c:axId val="44725670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4472535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Data!$I$8</c:f>
              <c:strCache>
                <c:ptCount val="1"/>
                <c:pt idx="0">
                  <c:v>XV (ABBA)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Data!$J$1:$N$1</c:f>
              <c:strCache>
                <c:ptCount val="5"/>
                <c:pt idx="0">
                  <c:v>Ethics</c:v>
                </c:pt>
                <c:pt idx="1">
                  <c:v>Sustainability</c:v>
                </c:pt>
                <c:pt idx="2">
                  <c:v>Legality</c:v>
                </c:pt>
                <c:pt idx="3">
                  <c:v>Transparency</c:v>
                </c:pt>
                <c:pt idx="4">
                  <c:v>Completeness</c:v>
                </c:pt>
              </c:strCache>
            </c:strRef>
          </c:cat>
          <c:val>
            <c:numRef>
              <c:f>Data!$J$8:$N$8</c:f>
              <c:numCache>
                <c:formatCode>General</c:formatCode>
                <c:ptCount val="5"/>
                <c:pt idx="0">
                  <c:v>7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B2-F646-956C-878A159727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5766591"/>
        <c:axId val="506597759"/>
      </c:radarChart>
      <c:catAx>
        <c:axId val="585766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506597759"/>
        <c:crosses val="autoZero"/>
        <c:auto val="1"/>
        <c:lblAlgn val="ctr"/>
        <c:lblOffset val="100"/>
        <c:noMultiLvlLbl val="0"/>
      </c:catAx>
      <c:valAx>
        <c:axId val="506597759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5857665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Data!$I$9</c:f>
              <c:strCache>
                <c:ptCount val="1"/>
                <c:pt idx="0">
                  <c:v>XVI (ABBB)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Data!$J$1:$N$1</c:f>
              <c:strCache>
                <c:ptCount val="5"/>
                <c:pt idx="0">
                  <c:v>Ethics</c:v>
                </c:pt>
                <c:pt idx="1">
                  <c:v>Sustainability</c:v>
                </c:pt>
                <c:pt idx="2">
                  <c:v>Legality</c:v>
                </c:pt>
                <c:pt idx="3">
                  <c:v>Transparency</c:v>
                </c:pt>
                <c:pt idx="4">
                  <c:v>Completeness</c:v>
                </c:pt>
              </c:strCache>
            </c:strRef>
          </c:cat>
          <c:val>
            <c:numRef>
              <c:f>Data!$J$9:$N$9</c:f>
              <c:numCache>
                <c:formatCode>General</c:formatCode>
                <c:ptCount val="5"/>
                <c:pt idx="0">
                  <c:v>5</c:v>
                </c:pt>
                <c:pt idx="1">
                  <c:v>5</c:v>
                </c:pt>
                <c:pt idx="2">
                  <c:v>7</c:v>
                </c:pt>
                <c:pt idx="3">
                  <c:v>5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A8-3645-9A00-BAEFA76F28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456319"/>
        <c:axId val="570284607"/>
      </c:radarChart>
      <c:catAx>
        <c:axId val="125456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570284607"/>
        <c:crosses val="autoZero"/>
        <c:auto val="1"/>
        <c:lblAlgn val="ctr"/>
        <c:lblOffset val="100"/>
        <c:noMultiLvlLbl val="0"/>
      </c:catAx>
      <c:valAx>
        <c:axId val="57028460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5456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.xml"/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7.xml"/><Relationship Id="rId3" Type="http://schemas.openxmlformats.org/officeDocument/2006/relationships/chart" Target="../charts/chart12.xml"/><Relationship Id="rId7" Type="http://schemas.openxmlformats.org/officeDocument/2006/relationships/chart" Target="../charts/chart16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chart" Target="../charts/chart15.xml"/><Relationship Id="rId5" Type="http://schemas.openxmlformats.org/officeDocument/2006/relationships/chart" Target="../charts/chart14.xml"/><Relationship Id="rId4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284475</xdr:colOff>
      <xdr:row>52</xdr:row>
      <xdr:rowOff>208370</xdr:rowOff>
    </xdr:from>
    <xdr:to>
      <xdr:col>34</xdr:col>
      <xdr:colOff>755787</xdr:colOff>
      <xdr:row>66</xdr:row>
      <xdr:rowOff>58191</xdr:rowOff>
    </xdr:to>
    <xdr:graphicFrame macro="">
      <xdr:nvGraphicFramePr>
        <xdr:cNvPr id="37" name="Chart 21">
          <a:extLst>
            <a:ext uri="{FF2B5EF4-FFF2-40B4-BE49-F238E27FC236}">
              <a16:creationId xmlns:a16="http://schemas.microsoft.com/office/drawing/2014/main" id="{473830B5-DB22-EC4D-A2DE-998EE1086C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1047751</xdr:colOff>
      <xdr:row>28</xdr:row>
      <xdr:rowOff>146049</xdr:rowOff>
    </xdr:from>
    <xdr:to>
      <xdr:col>3</xdr:col>
      <xdr:colOff>1153585</xdr:colOff>
      <xdr:row>42</xdr:row>
      <xdr:rowOff>44449</xdr:rowOff>
    </xdr:to>
    <xdr:graphicFrame macro="">
      <xdr:nvGraphicFramePr>
        <xdr:cNvPr id="2" name="Chart 13">
          <a:extLst>
            <a:ext uri="{FF2B5EF4-FFF2-40B4-BE49-F238E27FC236}">
              <a16:creationId xmlns:a16="http://schemas.microsoft.com/office/drawing/2014/main" id="{A5931EE9-AC5A-025F-1945-216AE3B00F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260350</xdr:colOff>
      <xdr:row>0</xdr:row>
      <xdr:rowOff>196850</xdr:rowOff>
    </xdr:from>
    <xdr:to>
      <xdr:col>11</xdr:col>
      <xdr:colOff>704850</xdr:colOff>
      <xdr:row>14</xdr:row>
      <xdr:rowOff>95250</xdr:rowOff>
    </xdr:to>
    <xdr:graphicFrame macro="">
      <xdr:nvGraphicFramePr>
        <xdr:cNvPr id="3" name="Chart 14">
          <a:extLst>
            <a:ext uri="{FF2B5EF4-FFF2-40B4-BE49-F238E27FC236}">
              <a16:creationId xmlns:a16="http://schemas.microsoft.com/office/drawing/2014/main" id="{235FA88A-4DB4-79E5-A504-DA8BBCA62D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45</xdr:row>
      <xdr:rowOff>27170</xdr:rowOff>
    </xdr:from>
    <xdr:to>
      <xdr:col>3</xdr:col>
      <xdr:colOff>132205</xdr:colOff>
      <xdr:row>58</xdr:row>
      <xdr:rowOff>128769</xdr:rowOff>
    </xdr:to>
    <xdr:graphicFrame macro="">
      <xdr:nvGraphicFramePr>
        <xdr:cNvPr id="4" name="Chart 15">
          <a:extLst>
            <a:ext uri="{FF2B5EF4-FFF2-40B4-BE49-F238E27FC236}">
              <a16:creationId xmlns:a16="http://schemas.microsoft.com/office/drawing/2014/main" id="{37644919-C6DC-8564-5ED0-1D7AD5C119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1204939</xdr:colOff>
      <xdr:row>49</xdr:row>
      <xdr:rowOff>154863</xdr:rowOff>
    </xdr:from>
    <xdr:to>
      <xdr:col>8</xdr:col>
      <xdr:colOff>382492</xdr:colOff>
      <xdr:row>63</xdr:row>
      <xdr:rowOff>53263</xdr:rowOff>
    </xdr:to>
    <xdr:graphicFrame macro="">
      <xdr:nvGraphicFramePr>
        <xdr:cNvPr id="5" name="Chart 16">
          <a:extLst>
            <a:ext uri="{FF2B5EF4-FFF2-40B4-BE49-F238E27FC236}">
              <a16:creationId xmlns:a16="http://schemas.microsoft.com/office/drawing/2014/main" id="{F4488E66-DA15-2015-3577-4F06251B8E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1064683</xdr:colOff>
      <xdr:row>14</xdr:row>
      <xdr:rowOff>141817</xdr:rowOff>
    </xdr:from>
    <xdr:to>
      <xdr:col>8</xdr:col>
      <xdr:colOff>226483</xdr:colOff>
      <xdr:row>28</xdr:row>
      <xdr:rowOff>40217</xdr:rowOff>
    </xdr:to>
    <xdr:graphicFrame macro="">
      <xdr:nvGraphicFramePr>
        <xdr:cNvPr id="6" name="Chart 18">
          <a:extLst>
            <a:ext uri="{FF2B5EF4-FFF2-40B4-BE49-F238E27FC236}">
              <a16:creationId xmlns:a16="http://schemas.microsoft.com/office/drawing/2014/main" id="{0B6A365E-AA68-B3D0-6E9A-739E24FEDE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508001</xdr:colOff>
      <xdr:row>12</xdr:row>
      <xdr:rowOff>148167</xdr:rowOff>
    </xdr:from>
    <xdr:to>
      <xdr:col>3</xdr:col>
      <xdr:colOff>618068</xdr:colOff>
      <xdr:row>26</xdr:row>
      <xdr:rowOff>46567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25D3395-E261-4942-88BA-2CF1CD2D3B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287866</xdr:colOff>
      <xdr:row>31</xdr:row>
      <xdr:rowOff>156633</xdr:rowOff>
    </xdr:from>
    <xdr:to>
      <xdr:col>9</xdr:col>
      <xdr:colOff>736599</xdr:colOff>
      <xdr:row>45</xdr:row>
      <xdr:rowOff>55033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25ACBA0-392F-9746-ACEB-ED813BD8CB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234950</xdr:colOff>
      <xdr:row>16</xdr:row>
      <xdr:rowOff>158750</xdr:rowOff>
    </xdr:from>
    <xdr:to>
      <xdr:col>15</xdr:col>
      <xdr:colOff>679449</xdr:colOff>
      <xdr:row>30</xdr:row>
      <xdr:rowOff>57150</xdr:rowOff>
    </xdr:to>
    <xdr:graphicFrame macro="">
      <xdr:nvGraphicFramePr>
        <xdr:cNvPr id="9" name="Chart 21">
          <a:extLst>
            <a:ext uri="{FF2B5EF4-FFF2-40B4-BE49-F238E27FC236}">
              <a16:creationId xmlns:a16="http://schemas.microsoft.com/office/drawing/2014/main" id="{029C4526-7611-AD13-751B-9F55649ABF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286150</xdr:colOff>
      <xdr:row>5</xdr:row>
      <xdr:rowOff>181308</xdr:rowOff>
    </xdr:from>
    <xdr:to>
      <xdr:col>3</xdr:col>
      <xdr:colOff>417546</xdr:colOff>
      <xdr:row>19</xdr:row>
      <xdr:rowOff>79708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81F2D6A0-DA03-632A-4071-F6BB7A882F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797732</xdr:colOff>
      <xdr:row>0</xdr:row>
      <xdr:rowOff>83408</xdr:rowOff>
    </xdr:from>
    <xdr:to>
      <xdr:col>10</xdr:col>
      <xdr:colOff>385781</xdr:colOff>
      <xdr:row>13</xdr:row>
      <xdr:rowOff>190559</xdr:rowOff>
    </xdr:to>
    <xdr:graphicFrame macro="">
      <xdr:nvGraphicFramePr>
        <xdr:cNvPr id="4" name="Chart 6">
          <a:extLst>
            <a:ext uri="{FF2B5EF4-FFF2-40B4-BE49-F238E27FC236}">
              <a16:creationId xmlns:a16="http://schemas.microsoft.com/office/drawing/2014/main" id="{C2669F66-CE0B-F758-4EDF-1994D7BDA5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184535</xdr:colOff>
      <xdr:row>21</xdr:row>
      <xdr:rowOff>40216</xdr:rowOff>
    </xdr:from>
    <xdr:to>
      <xdr:col>3</xdr:col>
      <xdr:colOff>291137</xdr:colOff>
      <xdr:row>34</xdr:row>
      <xdr:rowOff>140663</xdr:rowOff>
    </xdr:to>
    <xdr:graphicFrame macro="">
      <xdr:nvGraphicFramePr>
        <xdr:cNvPr id="5" name="Chart 7">
          <a:extLst>
            <a:ext uri="{FF2B5EF4-FFF2-40B4-BE49-F238E27FC236}">
              <a16:creationId xmlns:a16="http://schemas.microsoft.com/office/drawing/2014/main" id="{97A4C0C1-C3B8-4E3B-426A-0C00576D5B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722553</xdr:colOff>
      <xdr:row>13</xdr:row>
      <xdr:rowOff>185690</xdr:rowOff>
    </xdr:from>
    <xdr:to>
      <xdr:col>14</xdr:col>
      <xdr:colOff>339244</xdr:colOff>
      <xdr:row>27</xdr:row>
      <xdr:rowOff>84090</xdr:rowOff>
    </xdr:to>
    <xdr:graphicFrame macro="">
      <xdr:nvGraphicFramePr>
        <xdr:cNvPr id="6" name="Chart 8">
          <a:extLst>
            <a:ext uri="{FF2B5EF4-FFF2-40B4-BE49-F238E27FC236}">
              <a16:creationId xmlns:a16="http://schemas.microsoft.com/office/drawing/2014/main" id="{F96AF88B-8483-0A75-ABB8-79117F44E2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272281</xdr:colOff>
      <xdr:row>29</xdr:row>
      <xdr:rowOff>76392</xdr:rowOff>
    </xdr:from>
    <xdr:to>
      <xdr:col>14</xdr:col>
      <xdr:colOff>708700</xdr:colOff>
      <xdr:row>42</xdr:row>
      <xdr:rowOff>177991</xdr:rowOff>
    </xdr:to>
    <xdr:graphicFrame macro="">
      <xdr:nvGraphicFramePr>
        <xdr:cNvPr id="7" name="Chart 9">
          <a:extLst>
            <a:ext uri="{FF2B5EF4-FFF2-40B4-BE49-F238E27FC236}">
              <a16:creationId xmlns:a16="http://schemas.microsoft.com/office/drawing/2014/main" id="{81433509-EE67-72E8-540E-DC4213ED92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435070</xdr:colOff>
      <xdr:row>14</xdr:row>
      <xdr:rowOff>76394</xdr:rowOff>
    </xdr:from>
    <xdr:to>
      <xdr:col>7</xdr:col>
      <xdr:colOff>421216</xdr:colOff>
      <xdr:row>27</xdr:row>
      <xdr:rowOff>177994</xdr:rowOff>
    </xdr:to>
    <xdr:graphicFrame macro="">
      <xdr:nvGraphicFramePr>
        <xdr:cNvPr id="8" name="Chart 10">
          <a:extLst>
            <a:ext uri="{FF2B5EF4-FFF2-40B4-BE49-F238E27FC236}">
              <a16:creationId xmlns:a16="http://schemas.microsoft.com/office/drawing/2014/main" id="{03944760-082E-8D2B-4978-03EA351FB8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1607705</xdr:colOff>
      <xdr:row>38</xdr:row>
      <xdr:rowOff>59460</xdr:rowOff>
    </xdr:from>
    <xdr:to>
      <xdr:col>3</xdr:col>
      <xdr:colOff>1714307</xdr:colOff>
      <xdr:row>51</xdr:row>
      <xdr:rowOff>159905</xdr:rowOff>
    </xdr:to>
    <xdr:graphicFrame macro="">
      <xdr:nvGraphicFramePr>
        <xdr:cNvPr id="9" name="Chart 11">
          <a:extLst>
            <a:ext uri="{FF2B5EF4-FFF2-40B4-BE49-F238E27FC236}">
              <a16:creationId xmlns:a16="http://schemas.microsoft.com/office/drawing/2014/main" id="{5B4D4A71-F774-E4A2-972E-42835A429A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</xdr:col>
      <xdr:colOff>1549400</xdr:colOff>
      <xdr:row>28</xdr:row>
      <xdr:rowOff>159712</xdr:rowOff>
    </xdr:from>
    <xdr:to>
      <xdr:col>8</xdr:col>
      <xdr:colOff>713894</xdr:colOff>
      <xdr:row>42</xdr:row>
      <xdr:rowOff>56958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9C542FE7-B0C2-0F48-EF38-0813710C35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68001-5900-D34D-A823-C7C60F126A10}">
  <dimension ref="A1:T72"/>
  <sheetViews>
    <sheetView tabSelected="1" zoomScale="117" zoomScaleNormal="110" workbookViewId="0">
      <selection activeCell="M21" sqref="M21"/>
    </sheetView>
  </sheetViews>
  <sheetFormatPr baseColWidth="10" defaultRowHeight="16" x14ac:dyDescent="0.2"/>
  <cols>
    <col min="1" max="1" width="15" customWidth="1"/>
    <col min="2" max="2" width="19" bestFit="1" customWidth="1"/>
    <col min="3" max="3" width="22.5" bestFit="1" customWidth="1"/>
    <col min="4" max="4" width="11.5" customWidth="1"/>
    <col min="5" max="5" width="12" bestFit="1" customWidth="1"/>
    <col min="6" max="6" width="12.83203125" bestFit="1" customWidth="1"/>
    <col min="7" max="7" width="13" bestFit="1" customWidth="1"/>
    <col min="8" max="8" width="12.1640625" customWidth="1"/>
    <col min="9" max="9" width="11.83203125" bestFit="1" customWidth="1"/>
    <col min="10" max="10" width="10.83203125" bestFit="1" customWidth="1"/>
    <col min="11" max="11" width="12.1640625" bestFit="1" customWidth="1"/>
    <col min="12" max="12" width="13" bestFit="1" customWidth="1"/>
    <col min="13" max="13" width="12" bestFit="1" customWidth="1"/>
    <col min="14" max="14" width="12.83203125" bestFit="1" customWidth="1"/>
    <col min="15" max="15" width="31.5" customWidth="1"/>
    <col min="16" max="16" width="11" bestFit="1" customWidth="1"/>
    <col min="17" max="17" width="33.1640625" bestFit="1" customWidth="1"/>
    <col min="18" max="18" width="27.6640625" bestFit="1" customWidth="1"/>
    <col min="19" max="19" width="17.1640625" bestFit="1" customWidth="1"/>
    <col min="20" max="20" width="16.33203125" bestFit="1" customWidth="1"/>
  </cols>
  <sheetData>
    <row r="1" spans="1:20" x14ac:dyDescent="0.2">
      <c r="A1" s="4" t="s">
        <v>41</v>
      </c>
      <c r="B1" s="5" t="s">
        <v>0</v>
      </c>
      <c r="C1" s="6" t="s">
        <v>1</v>
      </c>
      <c r="D1" s="7" t="s">
        <v>2</v>
      </c>
      <c r="E1" s="8" t="s">
        <v>3</v>
      </c>
      <c r="F1" s="9" t="s">
        <v>4</v>
      </c>
      <c r="H1" s="4" t="s">
        <v>14</v>
      </c>
      <c r="I1" s="4"/>
      <c r="J1" s="5" t="s">
        <v>0</v>
      </c>
      <c r="K1" s="6" t="s">
        <v>1</v>
      </c>
      <c r="L1" s="15" t="s">
        <v>2</v>
      </c>
      <c r="M1" s="8" t="s">
        <v>3</v>
      </c>
      <c r="N1" s="9" t="s">
        <v>4</v>
      </c>
      <c r="P1" s="4"/>
      <c r="Q1" s="4" t="s">
        <v>43</v>
      </c>
      <c r="R1" s="4" t="s">
        <v>44</v>
      </c>
      <c r="S1" s="4" t="s">
        <v>53</v>
      </c>
      <c r="T1" s="4" t="s">
        <v>54</v>
      </c>
    </row>
    <row r="2" spans="1:20" x14ac:dyDescent="0.2">
      <c r="A2" s="4" t="s">
        <v>25</v>
      </c>
      <c r="B2" s="4">
        <f t="shared" ref="B2:F2" si="0">(B27+B28+B30+B32+B34)</f>
        <v>3</v>
      </c>
      <c r="C2" s="4">
        <f t="shared" si="0"/>
        <v>5</v>
      </c>
      <c r="D2" s="4">
        <f t="shared" si="0"/>
        <v>4</v>
      </c>
      <c r="E2" s="4">
        <f t="shared" si="0"/>
        <v>5</v>
      </c>
      <c r="F2" s="4">
        <f t="shared" si="0"/>
        <v>0</v>
      </c>
      <c r="H2" s="4">
        <v>1</v>
      </c>
      <c r="I2" s="4" t="s">
        <v>25</v>
      </c>
      <c r="J2" s="4">
        <f>(J27+J28+J30+J32+J34)</f>
        <v>3</v>
      </c>
      <c r="K2" s="4">
        <f t="shared" ref="K2:N2" si="1">(K27+K28+K30+K32+K34)</f>
        <v>7</v>
      </c>
      <c r="L2" s="4">
        <f t="shared" si="1"/>
        <v>5</v>
      </c>
      <c r="M2" s="4">
        <f t="shared" si="1"/>
        <v>4</v>
      </c>
      <c r="N2" s="4">
        <f t="shared" si="1"/>
        <v>4</v>
      </c>
      <c r="P2" s="4" t="s">
        <v>25</v>
      </c>
      <c r="Q2" s="4" t="s">
        <v>42</v>
      </c>
      <c r="R2" s="4" t="s">
        <v>42</v>
      </c>
      <c r="S2" s="4" t="s">
        <v>55</v>
      </c>
      <c r="T2" s="4" t="s">
        <v>55</v>
      </c>
    </row>
    <row r="3" spans="1:20" x14ac:dyDescent="0.2">
      <c r="A3" s="4" t="s">
        <v>26</v>
      </c>
      <c r="B3" s="4">
        <f t="shared" ref="B3:F3" si="2">(B27+B28+B30+B32+B35)</f>
        <v>0</v>
      </c>
      <c r="C3" s="4">
        <f t="shared" si="2"/>
        <v>8</v>
      </c>
      <c r="D3" s="4">
        <f t="shared" si="2"/>
        <v>6</v>
      </c>
      <c r="E3" s="4">
        <f t="shared" si="2"/>
        <v>5</v>
      </c>
      <c r="F3" s="4">
        <f t="shared" si="2"/>
        <v>0</v>
      </c>
      <c r="H3" s="4">
        <v>2</v>
      </c>
      <c r="I3" s="4" t="s">
        <v>26</v>
      </c>
      <c r="J3" s="4">
        <f>(J27+J28+J30+J32+J35)</f>
        <v>1</v>
      </c>
      <c r="K3" s="4">
        <f t="shared" ref="K3:N3" si="3">(K27+K28+K30+K32+K35)</f>
        <v>9</v>
      </c>
      <c r="L3" s="4">
        <f t="shared" si="3"/>
        <v>7</v>
      </c>
      <c r="M3" s="4">
        <f t="shared" si="3"/>
        <v>2</v>
      </c>
      <c r="N3" s="4">
        <f t="shared" si="3"/>
        <v>4</v>
      </c>
      <c r="P3" s="4" t="s">
        <v>26</v>
      </c>
      <c r="Q3" s="4" t="s">
        <v>42</v>
      </c>
      <c r="R3" s="4" t="s">
        <v>42</v>
      </c>
      <c r="S3" s="4" t="s">
        <v>55</v>
      </c>
      <c r="T3" s="4" t="s">
        <v>55</v>
      </c>
    </row>
    <row r="4" spans="1:20" x14ac:dyDescent="0.2">
      <c r="A4" s="4" t="s">
        <v>27</v>
      </c>
      <c r="B4" s="4">
        <f t="shared" ref="B4:F4" si="4">(B27+B28+B30+B33+B34)</f>
        <v>5</v>
      </c>
      <c r="C4" s="4">
        <f t="shared" si="4"/>
        <v>3</v>
      </c>
      <c r="D4" s="4">
        <f t="shared" si="4"/>
        <v>4</v>
      </c>
      <c r="E4" s="4">
        <f t="shared" si="4"/>
        <v>5</v>
      </c>
      <c r="F4" s="4">
        <f t="shared" si="4"/>
        <v>1</v>
      </c>
      <c r="H4" s="4">
        <v>3</v>
      </c>
      <c r="I4" s="4" t="s">
        <v>27</v>
      </c>
      <c r="J4" s="4">
        <f>(J27+J28+J30+J33+J34)</f>
        <v>5</v>
      </c>
      <c r="K4" s="4">
        <f t="shared" ref="K4:N4" si="5">(K27+K28+K30+K33+K34)</f>
        <v>5</v>
      </c>
      <c r="L4" s="4">
        <f t="shared" si="5"/>
        <v>5</v>
      </c>
      <c r="M4" s="4">
        <f t="shared" si="5"/>
        <v>5</v>
      </c>
      <c r="N4" s="4">
        <f t="shared" si="5"/>
        <v>4</v>
      </c>
      <c r="P4" s="4" t="s">
        <v>27</v>
      </c>
      <c r="Q4" s="4" t="s">
        <v>42</v>
      </c>
      <c r="R4" s="4" t="s">
        <v>42</v>
      </c>
      <c r="S4" s="4" t="s">
        <v>55</v>
      </c>
      <c r="T4" s="4" t="s">
        <v>55</v>
      </c>
    </row>
    <row r="5" spans="1:20" x14ac:dyDescent="0.2">
      <c r="A5" s="4" t="s">
        <v>28</v>
      </c>
      <c r="B5" s="4">
        <f t="shared" ref="B5:F5" si="6">(B27+B28+B30+B33+B35)</f>
        <v>2</v>
      </c>
      <c r="C5" s="4">
        <f t="shared" si="6"/>
        <v>6</v>
      </c>
      <c r="D5" s="4">
        <f t="shared" si="6"/>
        <v>6</v>
      </c>
      <c r="E5" s="4">
        <f t="shared" si="6"/>
        <v>5</v>
      </c>
      <c r="F5" s="4">
        <f t="shared" si="6"/>
        <v>1</v>
      </c>
      <c r="H5" s="4">
        <v>4</v>
      </c>
      <c r="I5" s="4" t="s">
        <v>28</v>
      </c>
      <c r="J5" s="4">
        <f>(J27+J28+J30+J33+J35)</f>
        <v>3</v>
      </c>
      <c r="K5" s="4">
        <f t="shared" ref="K5:N5" si="7">(K27+K28+K30+K33+K35)</f>
        <v>7</v>
      </c>
      <c r="L5" s="4">
        <f t="shared" si="7"/>
        <v>7</v>
      </c>
      <c r="M5" s="4">
        <f t="shared" si="7"/>
        <v>3</v>
      </c>
      <c r="N5" s="4">
        <f t="shared" si="7"/>
        <v>4</v>
      </c>
      <c r="P5" s="4" t="s">
        <v>28</v>
      </c>
      <c r="Q5" s="4" t="s">
        <v>42</v>
      </c>
      <c r="R5" s="4" t="s">
        <v>42</v>
      </c>
      <c r="S5" s="4" t="s">
        <v>55</v>
      </c>
      <c r="T5" s="4" t="s">
        <v>55</v>
      </c>
    </row>
    <row r="6" spans="1:20" x14ac:dyDescent="0.2">
      <c r="A6" s="4" t="s">
        <v>29</v>
      </c>
      <c r="B6" s="4">
        <f t="shared" ref="B6:F6" si="8">(B27+B28+B31+B32+B34)</f>
        <v>3</v>
      </c>
      <c r="C6" s="4">
        <f t="shared" si="8"/>
        <v>1</v>
      </c>
      <c r="D6" s="4">
        <f t="shared" si="8"/>
        <v>4</v>
      </c>
      <c r="E6" s="4">
        <f t="shared" si="8"/>
        <v>1</v>
      </c>
      <c r="F6" s="4">
        <f t="shared" si="8"/>
        <v>2</v>
      </c>
      <c r="H6" s="4">
        <v>5</v>
      </c>
      <c r="I6" s="4" t="s">
        <v>29</v>
      </c>
      <c r="J6" s="4">
        <f>(J27+J28+J31+J32+J34)</f>
        <v>5</v>
      </c>
      <c r="K6" s="4">
        <f t="shared" ref="K6:N6" si="9">(K27+K28+K31+K32+K34)</f>
        <v>5</v>
      </c>
      <c r="L6" s="4">
        <f t="shared" si="9"/>
        <v>5</v>
      </c>
      <c r="M6" s="4">
        <f t="shared" si="9"/>
        <v>6</v>
      </c>
      <c r="N6" s="4">
        <f t="shared" si="9"/>
        <v>2</v>
      </c>
      <c r="P6" s="4" t="s">
        <v>29</v>
      </c>
      <c r="Q6" s="4" t="s">
        <v>42</v>
      </c>
      <c r="R6" s="4" t="s">
        <v>42</v>
      </c>
      <c r="S6" s="4" t="s">
        <v>55</v>
      </c>
      <c r="T6" s="4" t="s">
        <v>55</v>
      </c>
    </row>
    <row r="7" spans="1:20" x14ac:dyDescent="0.2">
      <c r="A7" s="4" t="s">
        <v>30</v>
      </c>
      <c r="B7" s="4">
        <f t="shared" ref="B7:F7" si="10">(B27+B28+B31+B32+B35)</f>
        <v>0</v>
      </c>
      <c r="C7" s="4">
        <f t="shared" si="10"/>
        <v>4</v>
      </c>
      <c r="D7" s="4">
        <f t="shared" si="10"/>
        <v>6</v>
      </c>
      <c r="E7" s="4">
        <f t="shared" si="10"/>
        <v>1</v>
      </c>
      <c r="F7" s="4">
        <f t="shared" si="10"/>
        <v>2</v>
      </c>
      <c r="H7" s="4">
        <v>6</v>
      </c>
      <c r="I7" s="4" t="s">
        <v>30</v>
      </c>
      <c r="J7" s="4">
        <f>(J27+J28+J31+J32+J35)</f>
        <v>3</v>
      </c>
      <c r="K7" s="4">
        <f t="shared" ref="K7:N7" si="11">(K27+K28+K31+K32+K35)</f>
        <v>7</v>
      </c>
      <c r="L7" s="4">
        <f t="shared" si="11"/>
        <v>7</v>
      </c>
      <c r="M7" s="4">
        <f t="shared" si="11"/>
        <v>4</v>
      </c>
      <c r="N7" s="4">
        <f t="shared" si="11"/>
        <v>2</v>
      </c>
      <c r="P7" s="4" t="s">
        <v>30</v>
      </c>
      <c r="Q7" s="4" t="s">
        <v>42</v>
      </c>
      <c r="R7" s="4" t="s">
        <v>42</v>
      </c>
      <c r="S7" s="4" t="s">
        <v>55</v>
      </c>
      <c r="T7" s="4" t="s">
        <v>55</v>
      </c>
    </row>
    <row r="8" spans="1:20" x14ac:dyDescent="0.2">
      <c r="A8" s="4" t="s">
        <v>31</v>
      </c>
      <c r="B8" s="4">
        <f t="shared" ref="B8:F8" si="12">(B27+B28+B31+B33+B34)</f>
        <v>5</v>
      </c>
      <c r="C8" s="4">
        <f t="shared" si="12"/>
        <v>-1</v>
      </c>
      <c r="D8" s="4">
        <f t="shared" si="12"/>
        <v>4</v>
      </c>
      <c r="E8" s="4">
        <f t="shared" si="12"/>
        <v>1</v>
      </c>
      <c r="F8" s="4">
        <f t="shared" si="12"/>
        <v>3</v>
      </c>
      <c r="H8" s="4">
        <v>7</v>
      </c>
      <c r="I8" s="4" t="s">
        <v>31</v>
      </c>
      <c r="J8" s="4">
        <f>(J27+J28+J31+J33+J34)</f>
        <v>7</v>
      </c>
      <c r="K8" s="4">
        <f t="shared" ref="K8:N8" si="13">(K27+K28+K31+K33+K34)</f>
        <v>3</v>
      </c>
      <c r="L8" s="4">
        <f t="shared" si="13"/>
        <v>5</v>
      </c>
      <c r="M8" s="4">
        <f t="shared" si="13"/>
        <v>7</v>
      </c>
      <c r="N8" s="4">
        <f t="shared" si="13"/>
        <v>2</v>
      </c>
      <c r="P8" s="4" t="s">
        <v>31</v>
      </c>
      <c r="Q8" s="4" t="s">
        <v>42</v>
      </c>
      <c r="R8" s="4" t="s">
        <v>42</v>
      </c>
      <c r="S8" s="4" t="s">
        <v>55</v>
      </c>
      <c r="T8" s="4" t="s">
        <v>55</v>
      </c>
    </row>
    <row r="9" spans="1:20" x14ac:dyDescent="0.2">
      <c r="A9" s="4" t="s">
        <v>32</v>
      </c>
      <c r="B9" s="4">
        <f t="shared" ref="B9:F9" si="14">(B27+B28+B31+B33+B35)</f>
        <v>2</v>
      </c>
      <c r="C9" s="4">
        <f t="shared" si="14"/>
        <v>2</v>
      </c>
      <c r="D9" s="4">
        <f t="shared" si="14"/>
        <v>6</v>
      </c>
      <c r="E9" s="4">
        <f t="shared" si="14"/>
        <v>1</v>
      </c>
      <c r="F9" s="4">
        <f t="shared" si="14"/>
        <v>3</v>
      </c>
      <c r="H9" s="4">
        <v>8</v>
      </c>
      <c r="I9" s="4" t="s">
        <v>32</v>
      </c>
      <c r="J9" s="4">
        <f>(J27+J28+J31+J33+J35)</f>
        <v>5</v>
      </c>
      <c r="K9" s="4">
        <f t="shared" ref="K9:N9" si="15">(K27+K28+K31+K33+K35)</f>
        <v>5</v>
      </c>
      <c r="L9" s="4">
        <f t="shared" si="15"/>
        <v>7</v>
      </c>
      <c r="M9" s="4">
        <f t="shared" si="15"/>
        <v>5</v>
      </c>
      <c r="N9" s="4">
        <f t="shared" si="15"/>
        <v>2</v>
      </c>
      <c r="P9" s="4" t="s">
        <v>32</v>
      </c>
      <c r="Q9" s="4" t="s">
        <v>42</v>
      </c>
      <c r="R9" s="4" t="s">
        <v>42</v>
      </c>
      <c r="S9" s="4" t="s">
        <v>55</v>
      </c>
      <c r="T9" s="4" t="s">
        <v>55</v>
      </c>
    </row>
    <row r="10" spans="1:20" x14ac:dyDescent="0.2">
      <c r="A10" s="4" t="s">
        <v>33</v>
      </c>
      <c r="B10" s="4">
        <f t="shared" ref="B10:F10" si="16">(B27+B29+B30+B32+B35)</f>
        <v>0</v>
      </c>
      <c r="C10" s="4">
        <f t="shared" si="16"/>
        <v>4</v>
      </c>
      <c r="D10" s="4">
        <f t="shared" si="16"/>
        <v>2</v>
      </c>
      <c r="E10" s="4">
        <f t="shared" si="16"/>
        <v>5</v>
      </c>
      <c r="F10" s="4">
        <f t="shared" si="16"/>
        <v>4</v>
      </c>
      <c r="H10" s="4">
        <v>9</v>
      </c>
      <c r="I10" s="4" t="s">
        <v>33</v>
      </c>
      <c r="J10" s="4">
        <f>(J27+J29+J30+J32+J35)</f>
        <v>1</v>
      </c>
      <c r="K10" s="4">
        <f t="shared" ref="K10:N10" si="17">(K27+K29+K30+K32+K35)</f>
        <v>5</v>
      </c>
      <c r="L10" s="4">
        <f t="shared" si="17"/>
        <v>3</v>
      </c>
      <c r="M10" s="4">
        <f t="shared" si="17"/>
        <v>2</v>
      </c>
      <c r="N10" s="4">
        <f t="shared" si="17"/>
        <v>8</v>
      </c>
      <c r="P10" s="4" t="s">
        <v>33</v>
      </c>
      <c r="Q10" s="4" t="s">
        <v>42</v>
      </c>
      <c r="R10" s="4" t="s">
        <v>42</v>
      </c>
      <c r="S10" s="4" t="s">
        <v>55</v>
      </c>
      <c r="T10" s="4" t="s">
        <v>55</v>
      </c>
    </row>
    <row r="11" spans="1:20" x14ac:dyDescent="0.2">
      <c r="A11" s="4" t="s">
        <v>34</v>
      </c>
      <c r="B11" s="4">
        <f t="shared" ref="B11:F11" si="18">(B27+B29+B30+B32+B34)</f>
        <v>3</v>
      </c>
      <c r="C11" s="4">
        <f t="shared" si="18"/>
        <v>1</v>
      </c>
      <c r="D11" s="4">
        <f t="shared" si="18"/>
        <v>0</v>
      </c>
      <c r="E11" s="4">
        <f t="shared" si="18"/>
        <v>5</v>
      </c>
      <c r="F11" s="4">
        <f t="shared" si="18"/>
        <v>4</v>
      </c>
      <c r="H11" s="4">
        <v>10</v>
      </c>
      <c r="I11" s="4" t="s">
        <v>34</v>
      </c>
      <c r="J11" s="4">
        <f>(J27+J29+J30+J32+J34)</f>
        <v>3</v>
      </c>
      <c r="K11" s="4">
        <f t="shared" ref="K11:N11" si="19">(K27+K29+K30+K32+K34)</f>
        <v>3</v>
      </c>
      <c r="L11" s="4">
        <f t="shared" si="19"/>
        <v>1</v>
      </c>
      <c r="M11" s="4">
        <f t="shared" si="19"/>
        <v>4</v>
      </c>
      <c r="N11" s="4">
        <f t="shared" si="19"/>
        <v>8</v>
      </c>
      <c r="P11" s="4" t="s">
        <v>34</v>
      </c>
      <c r="Q11" s="4" t="s">
        <v>42</v>
      </c>
      <c r="R11" s="4" t="s">
        <v>42</v>
      </c>
      <c r="S11" s="4" t="s">
        <v>55</v>
      </c>
      <c r="T11" s="4" t="s">
        <v>55</v>
      </c>
    </row>
    <row r="12" spans="1:20" x14ac:dyDescent="0.2">
      <c r="A12" s="4" t="s">
        <v>35</v>
      </c>
      <c r="B12" s="4">
        <f t="shared" ref="B12:F12" si="20">(B27+B29+B30+B33+B34)</f>
        <v>5</v>
      </c>
      <c r="C12" s="4">
        <f t="shared" si="20"/>
        <v>-1</v>
      </c>
      <c r="D12" s="4">
        <f t="shared" si="20"/>
        <v>0</v>
      </c>
      <c r="E12" s="4">
        <f t="shared" si="20"/>
        <v>5</v>
      </c>
      <c r="F12" s="4">
        <f t="shared" si="20"/>
        <v>5</v>
      </c>
      <c r="H12" s="4">
        <v>11</v>
      </c>
      <c r="I12" s="4" t="s">
        <v>35</v>
      </c>
      <c r="J12" s="4">
        <f>(J27+J29+J30+J33+J34)</f>
        <v>5</v>
      </c>
      <c r="K12" s="4">
        <f t="shared" ref="K12:N12" si="21">(K27+K29+K30+K33+K34)</f>
        <v>1</v>
      </c>
      <c r="L12" s="4">
        <f t="shared" si="21"/>
        <v>1</v>
      </c>
      <c r="M12" s="4">
        <f t="shared" si="21"/>
        <v>5</v>
      </c>
      <c r="N12" s="4">
        <f t="shared" si="21"/>
        <v>8</v>
      </c>
      <c r="P12" s="4" t="s">
        <v>35</v>
      </c>
      <c r="Q12" s="4" t="s">
        <v>42</v>
      </c>
      <c r="R12" s="4" t="s">
        <v>42</v>
      </c>
      <c r="S12" s="4" t="s">
        <v>55</v>
      </c>
      <c r="T12" s="4" t="s">
        <v>55</v>
      </c>
    </row>
    <row r="13" spans="1:20" x14ac:dyDescent="0.2">
      <c r="A13" s="4" t="s">
        <v>36</v>
      </c>
      <c r="B13" s="4">
        <f t="shared" ref="B13:F13" si="22">(B27+B29+B30+B33+B35)</f>
        <v>2</v>
      </c>
      <c r="C13" s="4">
        <f t="shared" si="22"/>
        <v>2</v>
      </c>
      <c r="D13" s="4">
        <f t="shared" si="22"/>
        <v>2</v>
      </c>
      <c r="E13" s="4">
        <f t="shared" si="22"/>
        <v>5</v>
      </c>
      <c r="F13" s="4">
        <f t="shared" si="22"/>
        <v>5</v>
      </c>
      <c r="H13" s="4">
        <v>12</v>
      </c>
      <c r="I13" s="4" t="s">
        <v>36</v>
      </c>
      <c r="J13" s="4">
        <f>(J27+J29+J30+J33+J35)</f>
        <v>3</v>
      </c>
      <c r="K13" s="4">
        <f t="shared" ref="K13:N13" si="23">(K27+K29+K30+K33+K35)</f>
        <v>3</v>
      </c>
      <c r="L13" s="4">
        <f t="shared" si="23"/>
        <v>3</v>
      </c>
      <c r="M13" s="4">
        <f t="shared" si="23"/>
        <v>3</v>
      </c>
      <c r="N13" s="4">
        <f t="shared" si="23"/>
        <v>8</v>
      </c>
      <c r="P13" s="4" t="s">
        <v>36</v>
      </c>
      <c r="Q13" s="4" t="s">
        <v>42</v>
      </c>
      <c r="R13" s="4" t="s">
        <v>42</v>
      </c>
      <c r="S13" s="4" t="s">
        <v>55</v>
      </c>
      <c r="T13" s="4" t="s">
        <v>55</v>
      </c>
    </row>
    <row r="14" spans="1:20" x14ac:dyDescent="0.2">
      <c r="A14" s="4" t="s">
        <v>37</v>
      </c>
      <c r="B14" s="4">
        <f t="shared" ref="B14:F14" si="24">(B27+B29+B31+B32+B34)</f>
        <v>3</v>
      </c>
      <c r="C14" s="4">
        <f t="shared" si="24"/>
        <v>-3</v>
      </c>
      <c r="D14" s="4">
        <f t="shared" si="24"/>
        <v>0</v>
      </c>
      <c r="E14" s="4">
        <f t="shared" si="24"/>
        <v>1</v>
      </c>
      <c r="F14" s="4">
        <f t="shared" si="24"/>
        <v>6</v>
      </c>
      <c r="H14" s="4">
        <v>13</v>
      </c>
      <c r="I14" s="4" t="s">
        <v>37</v>
      </c>
      <c r="J14" s="4">
        <f>(J27+J29+J31+J32+J34)</f>
        <v>5</v>
      </c>
      <c r="K14" s="4">
        <f t="shared" ref="K14:N14" si="25">(K27+K29+K31+K32+K34)</f>
        <v>1</v>
      </c>
      <c r="L14" s="4">
        <f t="shared" si="25"/>
        <v>1</v>
      </c>
      <c r="M14" s="4">
        <f t="shared" si="25"/>
        <v>6</v>
      </c>
      <c r="N14" s="4">
        <f t="shared" si="25"/>
        <v>6</v>
      </c>
      <c r="P14" s="4" t="s">
        <v>37</v>
      </c>
      <c r="Q14" s="4" t="s">
        <v>42</v>
      </c>
      <c r="R14" s="4" t="s">
        <v>42</v>
      </c>
      <c r="S14" s="4" t="s">
        <v>55</v>
      </c>
      <c r="T14" s="4" t="s">
        <v>55</v>
      </c>
    </row>
    <row r="15" spans="1:20" x14ac:dyDescent="0.2">
      <c r="A15" s="4" t="s">
        <v>38</v>
      </c>
      <c r="B15" s="4">
        <f t="shared" ref="B15:F15" si="26">(B27+B29+B31+B32+B35)</f>
        <v>0</v>
      </c>
      <c r="C15" s="4">
        <f t="shared" si="26"/>
        <v>0</v>
      </c>
      <c r="D15" s="4">
        <f t="shared" si="26"/>
        <v>2</v>
      </c>
      <c r="E15" s="4">
        <f t="shared" si="26"/>
        <v>1</v>
      </c>
      <c r="F15" s="4">
        <f t="shared" si="26"/>
        <v>6</v>
      </c>
      <c r="H15" s="4">
        <v>14</v>
      </c>
      <c r="I15" s="4" t="s">
        <v>38</v>
      </c>
      <c r="J15" s="4">
        <f>(J27+J29+J31+J32+J35)</f>
        <v>3</v>
      </c>
      <c r="K15" s="4">
        <f t="shared" ref="K15:N15" si="27">(K27+K29+K31+K32+K35)</f>
        <v>3</v>
      </c>
      <c r="L15" s="4">
        <f t="shared" si="27"/>
        <v>3</v>
      </c>
      <c r="M15" s="4">
        <f t="shared" si="27"/>
        <v>4</v>
      </c>
      <c r="N15" s="4">
        <f t="shared" si="27"/>
        <v>6</v>
      </c>
      <c r="P15" s="4" t="s">
        <v>38</v>
      </c>
      <c r="Q15" s="4" t="s">
        <v>42</v>
      </c>
      <c r="R15" s="4" t="s">
        <v>42</v>
      </c>
      <c r="S15" s="4" t="s">
        <v>55</v>
      </c>
      <c r="T15" s="4" t="s">
        <v>55</v>
      </c>
    </row>
    <row r="16" spans="1:20" x14ac:dyDescent="0.2">
      <c r="A16" s="4" t="s">
        <v>39</v>
      </c>
      <c r="B16" s="4">
        <f t="shared" ref="B16:F16" si="28">(B27+B29+B31+B33+B34)</f>
        <v>5</v>
      </c>
      <c r="C16" s="4">
        <f t="shared" si="28"/>
        <v>-5</v>
      </c>
      <c r="D16" s="4">
        <f t="shared" si="28"/>
        <v>0</v>
      </c>
      <c r="E16" s="4">
        <f t="shared" si="28"/>
        <v>1</v>
      </c>
      <c r="F16" s="4">
        <f t="shared" si="28"/>
        <v>7</v>
      </c>
      <c r="H16" s="4">
        <v>15</v>
      </c>
      <c r="I16" s="4" t="s">
        <v>39</v>
      </c>
      <c r="J16" s="4">
        <f>(J27+J29+J31+J33+J34)</f>
        <v>7</v>
      </c>
      <c r="K16" s="4">
        <f t="shared" ref="K16:N16" si="29">(K27+K29+K31+K33+K34)</f>
        <v>-1</v>
      </c>
      <c r="L16" s="4">
        <f t="shared" si="29"/>
        <v>1</v>
      </c>
      <c r="M16" s="4">
        <f t="shared" si="29"/>
        <v>7</v>
      </c>
      <c r="N16" s="4">
        <f t="shared" si="29"/>
        <v>6</v>
      </c>
      <c r="P16" s="4" t="s">
        <v>39</v>
      </c>
      <c r="Q16" s="4" t="s">
        <v>42</v>
      </c>
      <c r="R16" s="4" t="s">
        <v>42</v>
      </c>
      <c r="S16" s="4" t="s">
        <v>55</v>
      </c>
      <c r="T16" s="4" t="s">
        <v>55</v>
      </c>
    </row>
    <row r="17" spans="1:20" x14ac:dyDescent="0.2">
      <c r="A17" s="4" t="s">
        <v>40</v>
      </c>
      <c r="B17" s="4">
        <f t="shared" ref="B17:F17" si="30">(B27+B29+B31+B33+B35)</f>
        <v>2</v>
      </c>
      <c r="C17" s="4">
        <f t="shared" si="30"/>
        <v>-2</v>
      </c>
      <c r="D17" s="4">
        <f t="shared" si="30"/>
        <v>2</v>
      </c>
      <c r="E17" s="4">
        <f t="shared" si="30"/>
        <v>1</v>
      </c>
      <c r="F17" s="4">
        <f t="shared" si="30"/>
        <v>7</v>
      </c>
      <c r="H17" s="4">
        <v>16</v>
      </c>
      <c r="I17" s="4" t="s">
        <v>40</v>
      </c>
      <c r="J17" s="4">
        <f>(J27+J29+J31+J33+J35)</f>
        <v>5</v>
      </c>
      <c r="K17" s="4">
        <f t="shared" ref="K17:N17" si="31">(K27+K29+K31+K33+K35)</f>
        <v>1</v>
      </c>
      <c r="L17" s="4">
        <f t="shared" si="31"/>
        <v>3</v>
      </c>
      <c r="M17" s="4">
        <f t="shared" si="31"/>
        <v>5</v>
      </c>
      <c r="N17" s="4">
        <f t="shared" si="31"/>
        <v>6</v>
      </c>
      <c r="P17" s="4" t="s">
        <v>40</v>
      </c>
      <c r="Q17" s="4" t="s">
        <v>42</v>
      </c>
      <c r="R17" s="4" t="s">
        <v>42</v>
      </c>
      <c r="S17" s="4" t="s">
        <v>55</v>
      </c>
      <c r="T17" s="4" t="s">
        <v>55</v>
      </c>
    </row>
    <row r="18" spans="1:20" x14ac:dyDescent="0.2">
      <c r="I18" s="13"/>
      <c r="J18" s="1"/>
      <c r="K18" s="2"/>
      <c r="L18" s="14"/>
      <c r="M18" s="3"/>
      <c r="N18" s="3"/>
    </row>
    <row r="19" spans="1:20" x14ac:dyDescent="0.2">
      <c r="O19" s="4"/>
      <c r="P19" s="4"/>
      <c r="Q19" s="4" t="s">
        <v>15</v>
      </c>
      <c r="R19" s="4" t="s">
        <v>16</v>
      </c>
    </row>
    <row r="20" spans="1:20" x14ac:dyDescent="0.2">
      <c r="A20" s="4"/>
      <c r="B20" s="4" t="s">
        <v>15</v>
      </c>
      <c r="C20" s="4" t="s">
        <v>16</v>
      </c>
      <c r="O20" s="4" t="s">
        <v>45</v>
      </c>
      <c r="P20" s="4">
        <v>1</v>
      </c>
      <c r="Q20" s="4" t="s">
        <v>17</v>
      </c>
      <c r="R20" s="4" t="s">
        <v>18</v>
      </c>
    </row>
    <row r="21" spans="1:20" x14ac:dyDescent="0.2">
      <c r="A21" s="4">
        <v>1</v>
      </c>
      <c r="B21" s="4" t="s">
        <v>17</v>
      </c>
      <c r="C21" s="4" t="s">
        <v>18</v>
      </c>
      <c r="O21" s="4" t="s">
        <v>46</v>
      </c>
      <c r="P21" s="4">
        <v>2</v>
      </c>
      <c r="Q21" s="4" t="s">
        <v>50</v>
      </c>
      <c r="R21" s="4" t="s">
        <v>49</v>
      </c>
    </row>
    <row r="22" spans="1:20" x14ac:dyDescent="0.2">
      <c r="A22" s="4">
        <v>2</v>
      </c>
      <c r="B22" s="4" t="s">
        <v>19</v>
      </c>
      <c r="C22" s="4" t="s">
        <v>20</v>
      </c>
      <c r="O22" s="4" t="s">
        <v>51</v>
      </c>
      <c r="P22" s="4">
        <v>3</v>
      </c>
      <c r="Q22" s="4" t="s">
        <v>21</v>
      </c>
      <c r="R22" s="4" t="s">
        <v>22</v>
      </c>
    </row>
    <row r="23" spans="1:20" x14ac:dyDescent="0.2">
      <c r="A23" s="4">
        <v>3</v>
      </c>
      <c r="B23" s="4" t="s">
        <v>21</v>
      </c>
      <c r="C23" s="4" t="s">
        <v>22</v>
      </c>
      <c r="O23" s="4" t="s">
        <v>52</v>
      </c>
      <c r="P23" s="4">
        <v>4</v>
      </c>
      <c r="Q23" s="4" t="s">
        <v>47</v>
      </c>
      <c r="R23" s="4" t="s">
        <v>48</v>
      </c>
    </row>
    <row r="24" spans="1:20" x14ac:dyDescent="0.2">
      <c r="A24" s="4">
        <v>4</v>
      </c>
      <c r="B24" s="4" t="s">
        <v>24</v>
      </c>
      <c r="C24" s="4" t="s">
        <v>23</v>
      </c>
    </row>
    <row r="26" spans="1:20" x14ac:dyDescent="0.2">
      <c r="A26" s="4" t="s">
        <v>41</v>
      </c>
      <c r="B26" s="5" t="s">
        <v>0</v>
      </c>
      <c r="C26" s="6" t="s">
        <v>1</v>
      </c>
      <c r="D26" s="7" t="s">
        <v>2</v>
      </c>
      <c r="E26" s="8" t="s">
        <v>3</v>
      </c>
      <c r="F26" s="9" t="s">
        <v>4</v>
      </c>
      <c r="I26" s="4" t="s">
        <v>14</v>
      </c>
      <c r="J26" s="5" t="s">
        <v>0</v>
      </c>
      <c r="K26" s="6" t="s">
        <v>1</v>
      </c>
      <c r="L26" s="12" t="s">
        <v>2</v>
      </c>
      <c r="M26" s="8" t="s">
        <v>3</v>
      </c>
      <c r="N26" s="9" t="s">
        <v>4</v>
      </c>
      <c r="P26" s="4"/>
      <c r="Q26" s="4" t="s">
        <v>43</v>
      </c>
      <c r="R26" s="4" t="s">
        <v>44</v>
      </c>
    </row>
    <row r="27" spans="1:20" x14ac:dyDescent="0.2">
      <c r="A27" s="4" t="s">
        <v>13</v>
      </c>
      <c r="B27" s="4">
        <v>2</v>
      </c>
      <c r="C27" s="4">
        <v>2</v>
      </c>
      <c r="D27" s="4">
        <v>2</v>
      </c>
      <c r="E27" s="4">
        <v>2</v>
      </c>
      <c r="F27" s="4">
        <v>2</v>
      </c>
      <c r="I27" s="4" t="s">
        <v>13</v>
      </c>
      <c r="J27" s="4">
        <v>4</v>
      </c>
      <c r="K27" s="4">
        <v>4</v>
      </c>
      <c r="L27" s="4">
        <v>4</v>
      </c>
      <c r="M27" s="4">
        <v>4</v>
      </c>
      <c r="N27" s="4">
        <v>4</v>
      </c>
      <c r="P27" s="4" t="s">
        <v>25</v>
      </c>
      <c r="Q27" s="4" t="s">
        <v>42</v>
      </c>
      <c r="R27" s="4" t="s">
        <v>42</v>
      </c>
    </row>
    <row r="28" spans="1:20" x14ac:dyDescent="0.2">
      <c r="A28" s="5" t="s">
        <v>5</v>
      </c>
      <c r="B28" s="4">
        <v>0</v>
      </c>
      <c r="C28" s="4">
        <v>2</v>
      </c>
      <c r="D28" s="4">
        <v>2</v>
      </c>
      <c r="E28" s="4">
        <v>0</v>
      </c>
      <c r="F28" s="4">
        <v>-2</v>
      </c>
      <c r="I28" s="5" t="s">
        <v>5</v>
      </c>
      <c r="J28" s="5">
        <v>0</v>
      </c>
      <c r="K28" s="5">
        <v>2</v>
      </c>
      <c r="L28" s="5">
        <v>2</v>
      </c>
      <c r="M28" s="5">
        <v>0</v>
      </c>
      <c r="N28" s="5">
        <v>-2</v>
      </c>
      <c r="P28" s="4" t="s">
        <v>26</v>
      </c>
      <c r="Q28" s="4" t="s">
        <v>42</v>
      </c>
      <c r="R28" s="4" t="s">
        <v>42</v>
      </c>
    </row>
    <row r="29" spans="1:20" x14ac:dyDescent="0.2">
      <c r="A29" s="11" t="s">
        <v>6</v>
      </c>
      <c r="B29" s="4">
        <v>0</v>
      </c>
      <c r="C29" s="4">
        <v>-2</v>
      </c>
      <c r="D29" s="4">
        <v>-2</v>
      </c>
      <c r="E29" s="4">
        <v>0</v>
      </c>
      <c r="F29" s="4">
        <v>2</v>
      </c>
      <c r="I29" s="11" t="s">
        <v>6</v>
      </c>
      <c r="J29" s="11">
        <v>0</v>
      </c>
      <c r="K29" s="11">
        <v>-2</v>
      </c>
      <c r="L29" s="11">
        <v>-2</v>
      </c>
      <c r="M29" s="11">
        <v>0</v>
      </c>
      <c r="N29" s="11">
        <v>2</v>
      </c>
      <c r="P29" s="4" t="s">
        <v>27</v>
      </c>
      <c r="Q29" s="4" t="s">
        <v>42</v>
      </c>
      <c r="R29" s="4" t="s">
        <v>42</v>
      </c>
    </row>
    <row r="30" spans="1:20" x14ac:dyDescent="0.2">
      <c r="A30" s="5" t="s">
        <v>7</v>
      </c>
      <c r="B30" s="4">
        <v>0</v>
      </c>
      <c r="C30" s="4">
        <v>2</v>
      </c>
      <c r="D30" s="4">
        <v>0</v>
      </c>
      <c r="E30" s="10">
        <v>2</v>
      </c>
      <c r="F30" s="4">
        <v>-1</v>
      </c>
      <c r="I30" s="5" t="s">
        <v>7</v>
      </c>
      <c r="J30" s="5">
        <v>-1</v>
      </c>
      <c r="K30" s="5">
        <v>1</v>
      </c>
      <c r="L30" s="5">
        <v>0</v>
      </c>
      <c r="M30" s="5">
        <v>-1</v>
      </c>
      <c r="N30" s="5">
        <v>1</v>
      </c>
      <c r="P30" s="4" t="s">
        <v>28</v>
      </c>
      <c r="Q30" s="4" t="s">
        <v>42</v>
      </c>
      <c r="R30" s="4" t="s">
        <v>42</v>
      </c>
    </row>
    <row r="31" spans="1:20" x14ac:dyDescent="0.2">
      <c r="A31" s="11" t="s">
        <v>8</v>
      </c>
      <c r="B31" s="4">
        <v>0</v>
      </c>
      <c r="C31" s="4">
        <v>-2</v>
      </c>
      <c r="D31" s="4">
        <v>0</v>
      </c>
      <c r="E31" s="4">
        <v>-2</v>
      </c>
      <c r="F31" s="4">
        <v>1</v>
      </c>
      <c r="I31" s="11" t="s">
        <v>8</v>
      </c>
      <c r="J31" s="11">
        <v>1</v>
      </c>
      <c r="K31" s="11">
        <v>-1</v>
      </c>
      <c r="L31" s="11">
        <v>0</v>
      </c>
      <c r="M31" s="11">
        <v>1</v>
      </c>
      <c r="N31" s="11">
        <v>-1</v>
      </c>
      <c r="P31" s="4" t="s">
        <v>29</v>
      </c>
      <c r="Q31" s="4" t="s">
        <v>42</v>
      </c>
      <c r="R31" s="4" t="s">
        <v>42</v>
      </c>
    </row>
    <row r="32" spans="1:20" x14ac:dyDescent="0.2">
      <c r="A32" s="5" t="s">
        <v>9</v>
      </c>
      <c r="B32" s="4">
        <v>0</v>
      </c>
      <c r="C32" s="4">
        <v>0</v>
      </c>
      <c r="D32" s="4">
        <v>0</v>
      </c>
      <c r="E32" s="4">
        <v>0</v>
      </c>
      <c r="F32" s="4">
        <v>1</v>
      </c>
      <c r="I32" s="5" t="s">
        <v>9</v>
      </c>
      <c r="J32" s="5">
        <v>-1</v>
      </c>
      <c r="K32" s="5">
        <v>1</v>
      </c>
      <c r="L32" s="5">
        <v>0</v>
      </c>
      <c r="M32" s="5">
        <v>0</v>
      </c>
      <c r="N32" s="5">
        <v>1</v>
      </c>
      <c r="P32" s="4" t="s">
        <v>30</v>
      </c>
      <c r="Q32" s="4" t="s">
        <v>42</v>
      </c>
      <c r="R32" s="4" t="s">
        <v>42</v>
      </c>
    </row>
    <row r="33" spans="1:18" x14ac:dyDescent="0.2">
      <c r="A33" s="11" t="s">
        <v>10</v>
      </c>
      <c r="B33" s="4">
        <v>2</v>
      </c>
      <c r="C33" s="4">
        <v>-2</v>
      </c>
      <c r="D33" s="4">
        <v>0</v>
      </c>
      <c r="E33" s="4">
        <v>0</v>
      </c>
      <c r="F33" s="4">
        <v>2</v>
      </c>
      <c r="I33" s="11" t="s">
        <v>10</v>
      </c>
      <c r="J33" s="11">
        <v>1</v>
      </c>
      <c r="K33" s="11">
        <v>-1</v>
      </c>
      <c r="L33" s="11">
        <v>0</v>
      </c>
      <c r="M33" s="11">
        <v>1</v>
      </c>
      <c r="N33" s="11">
        <v>1</v>
      </c>
      <c r="P33" s="4" t="s">
        <v>31</v>
      </c>
      <c r="Q33" s="4" t="s">
        <v>42</v>
      </c>
      <c r="R33" s="4" t="s">
        <v>42</v>
      </c>
    </row>
    <row r="34" spans="1:18" x14ac:dyDescent="0.2">
      <c r="A34" s="5" t="s">
        <v>11</v>
      </c>
      <c r="B34" s="4">
        <v>1</v>
      </c>
      <c r="C34" s="4">
        <v>-1</v>
      </c>
      <c r="D34" s="4">
        <v>0</v>
      </c>
      <c r="E34" s="4">
        <v>1</v>
      </c>
      <c r="F34" s="4">
        <v>0</v>
      </c>
      <c r="I34" s="5" t="s">
        <v>11</v>
      </c>
      <c r="J34" s="5">
        <v>1</v>
      </c>
      <c r="K34" s="5">
        <v>-1</v>
      </c>
      <c r="L34" s="5">
        <v>-1</v>
      </c>
      <c r="M34" s="5">
        <v>1</v>
      </c>
      <c r="N34" s="5">
        <v>0</v>
      </c>
      <c r="P34" s="4" t="s">
        <v>32</v>
      </c>
      <c r="Q34" s="4" t="s">
        <v>42</v>
      </c>
      <c r="R34" s="4" t="s">
        <v>42</v>
      </c>
    </row>
    <row r="35" spans="1:18" x14ac:dyDescent="0.2">
      <c r="A35" s="11" t="s">
        <v>12</v>
      </c>
      <c r="B35" s="4">
        <v>-2</v>
      </c>
      <c r="C35" s="4">
        <v>2</v>
      </c>
      <c r="D35" s="4">
        <v>2</v>
      </c>
      <c r="E35" s="4">
        <v>1</v>
      </c>
      <c r="F35" s="4">
        <v>0</v>
      </c>
      <c r="I35" s="11" t="s">
        <v>12</v>
      </c>
      <c r="J35" s="11">
        <v>-1</v>
      </c>
      <c r="K35" s="11">
        <v>1</v>
      </c>
      <c r="L35" s="11">
        <v>1</v>
      </c>
      <c r="M35" s="11">
        <v>-1</v>
      </c>
      <c r="N35" s="11">
        <v>0</v>
      </c>
      <c r="P35" s="4" t="s">
        <v>33</v>
      </c>
      <c r="Q35" s="4" t="s">
        <v>42</v>
      </c>
      <c r="R35" s="4" t="s">
        <v>42</v>
      </c>
    </row>
    <row r="36" spans="1:18" x14ac:dyDescent="0.2">
      <c r="P36" s="4" t="s">
        <v>34</v>
      </c>
      <c r="Q36" s="4" t="s">
        <v>42</v>
      </c>
      <c r="R36" s="4" t="s">
        <v>42</v>
      </c>
    </row>
    <row r="37" spans="1:18" x14ac:dyDescent="0.2">
      <c r="P37" s="4" t="s">
        <v>35</v>
      </c>
      <c r="Q37" s="4" t="s">
        <v>42</v>
      </c>
      <c r="R37" s="4" t="s">
        <v>42</v>
      </c>
    </row>
    <row r="38" spans="1:18" x14ac:dyDescent="0.2">
      <c r="P38" s="4" t="s">
        <v>36</v>
      </c>
      <c r="Q38" s="4" t="s">
        <v>42</v>
      </c>
      <c r="R38" s="4" t="s">
        <v>42</v>
      </c>
    </row>
    <row r="39" spans="1:18" x14ac:dyDescent="0.2">
      <c r="P39" s="4" t="s">
        <v>37</v>
      </c>
      <c r="Q39" s="4" t="s">
        <v>42</v>
      </c>
      <c r="R39" s="4" t="s">
        <v>42</v>
      </c>
    </row>
    <row r="40" spans="1:18" x14ac:dyDescent="0.2">
      <c r="P40" s="4" t="s">
        <v>38</v>
      </c>
      <c r="Q40" s="4" t="s">
        <v>42</v>
      </c>
      <c r="R40" s="4" t="s">
        <v>42</v>
      </c>
    </row>
    <row r="41" spans="1:18" x14ac:dyDescent="0.2">
      <c r="P41" s="4" t="s">
        <v>39</v>
      </c>
      <c r="Q41" s="4" t="s">
        <v>42</v>
      </c>
      <c r="R41" s="4" t="s">
        <v>42</v>
      </c>
    </row>
    <row r="42" spans="1:18" x14ac:dyDescent="0.2">
      <c r="P42" s="4" t="s">
        <v>40</v>
      </c>
      <c r="Q42" s="4" t="s">
        <v>42</v>
      </c>
      <c r="R42" s="4" t="s">
        <v>42</v>
      </c>
    </row>
    <row r="67" spans="7:12" x14ac:dyDescent="0.2">
      <c r="G67" s="4"/>
      <c r="H67" s="5" t="s">
        <v>0</v>
      </c>
      <c r="I67" s="6" t="s">
        <v>1</v>
      </c>
      <c r="J67" s="15" t="s">
        <v>2</v>
      </c>
      <c r="K67" s="8" t="s">
        <v>3</v>
      </c>
      <c r="L67" s="9" t="s">
        <v>4</v>
      </c>
    </row>
    <row r="68" spans="7:12" x14ac:dyDescent="0.2">
      <c r="G68" s="5" t="s">
        <v>0</v>
      </c>
      <c r="H68" s="4">
        <v>7</v>
      </c>
      <c r="I68" s="4"/>
      <c r="J68" s="4"/>
      <c r="K68" s="4"/>
      <c r="L68" s="4"/>
    </row>
    <row r="69" spans="7:12" x14ac:dyDescent="0.2">
      <c r="G69" s="6" t="s">
        <v>1</v>
      </c>
      <c r="H69" s="4"/>
      <c r="I69" s="4">
        <v>7</v>
      </c>
      <c r="J69" s="4"/>
      <c r="K69" s="4"/>
      <c r="L69" s="4"/>
    </row>
    <row r="70" spans="7:12" x14ac:dyDescent="0.2">
      <c r="G70" s="15" t="s">
        <v>2</v>
      </c>
      <c r="H70" s="4"/>
      <c r="I70" s="4"/>
      <c r="J70" s="4">
        <v>7</v>
      </c>
      <c r="K70" s="4"/>
      <c r="L70" s="4"/>
    </row>
    <row r="71" spans="7:12" x14ac:dyDescent="0.2">
      <c r="G71" s="8" t="s">
        <v>3</v>
      </c>
      <c r="H71" s="4"/>
      <c r="I71" s="4"/>
      <c r="J71" s="4"/>
      <c r="K71" s="4">
        <v>7</v>
      </c>
      <c r="L71" s="4"/>
    </row>
    <row r="72" spans="7:12" x14ac:dyDescent="0.2">
      <c r="G72" s="9" t="s">
        <v>4</v>
      </c>
      <c r="H72" s="4"/>
      <c r="I72" s="4"/>
      <c r="J72" s="4"/>
      <c r="K72" s="4"/>
      <c r="L72" s="4">
        <v>7</v>
      </c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BC1A3-AB9A-C44F-B40D-99EE6CF76390}">
  <dimension ref="A3:D7"/>
  <sheetViews>
    <sheetView topLeftCell="A13" zoomScale="75" workbookViewId="0">
      <selection activeCell="P46" sqref="P46"/>
    </sheetView>
  </sheetViews>
  <sheetFormatPr baseColWidth="10" defaultRowHeight="16" x14ac:dyDescent="0.2"/>
  <cols>
    <col min="1" max="1" width="38.83203125" bestFit="1" customWidth="1"/>
    <col min="2" max="2" width="2.1640625" bestFit="1" customWidth="1"/>
    <col min="3" max="3" width="17.6640625" bestFit="1" customWidth="1"/>
    <col min="4" max="4" width="27.6640625" bestFit="1" customWidth="1"/>
  </cols>
  <sheetData>
    <row r="3" spans="1:4" x14ac:dyDescent="0.2">
      <c r="A3" s="4"/>
      <c r="B3" s="4"/>
      <c r="C3" s="4" t="s">
        <v>15</v>
      </c>
      <c r="D3" s="4" t="s">
        <v>16</v>
      </c>
    </row>
    <row r="4" spans="1:4" x14ac:dyDescent="0.2">
      <c r="A4" s="4" t="s">
        <v>45</v>
      </c>
      <c r="B4" s="4">
        <v>1</v>
      </c>
      <c r="C4" s="4" t="s">
        <v>17</v>
      </c>
      <c r="D4" s="4" t="s">
        <v>18</v>
      </c>
    </row>
    <row r="5" spans="1:4" x14ac:dyDescent="0.2">
      <c r="A5" s="4" t="s">
        <v>46</v>
      </c>
      <c r="B5" s="4">
        <v>2</v>
      </c>
      <c r="C5" s="4" t="s">
        <v>50</v>
      </c>
      <c r="D5" s="4" t="s">
        <v>49</v>
      </c>
    </row>
    <row r="6" spans="1:4" x14ac:dyDescent="0.2">
      <c r="A6" s="4" t="s">
        <v>51</v>
      </c>
      <c r="B6" s="4">
        <v>3</v>
      </c>
      <c r="C6" s="4" t="s">
        <v>21</v>
      </c>
      <c r="D6" s="4" t="s">
        <v>22</v>
      </c>
    </row>
    <row r="7" spans="1:4" x14ac:dyDescent="0.2">
      <c r="A7" s="4" t="s">
        <v>52</v>
      </c>
      <c r="B7" s="4">
        <v>4</v>
      </c>
      <c r="C7" s="4" t="s">
        <v>47</v>
      </c>
      <c r="D7" s="4" t="s">
        <v>48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CBAA0-6A4D-8E4A-94D3-92F948183605}">
  <dimension ref="A1:D5"/>
  <sheetViews>
    <sheetView zoomScale="69" workbookViewId="0">
      <selection activeCell="G56" sqref="G56"/>
    </sheetView>
  </sheetViews>
  <sheetFormatPr baseColWidth="10" defaultRowHeight="16" x14ac:dyDescent="0.2"/>
  <cols>
    <col min="1" max="1" width="38.83203125" bestFit="1" customWidth="1"/>
    <col min="2" max="2" width="2.1640625" bestFit="1" customWidth="1"/>
    <col min="3" max="3" width="17.6640625" bestFit="1" customWidth="1"/>
    <col min="4" max="4" width="27.6640625" bestFit="1" customWidth="1"/>
  </cols>
  <sheetData>
    <row r="1" spans="1:4" x14ac:dyDescent="0.2">
      <c r="A1" s="4"/>
      <c r="B1" s="4"/>
      <c r="C1" s="4" t="s">
        <v>15</v>
      </c>
      <c r="D1" s="4" t="s">
        <v>16</v>
      </c>
    </row>
    <row r="2" spans="1:4" x14ac:dyDescent="0.2">
      <c r="A2" s="4" t="s">
        <v>45</v>
      </c>
      <c r="B2" s="4">
        <v>1</v>
      </c>
      <c r="C2" s="4" t="s">
        <v>17</v>
      </c>
      <c r="D2" s="4" t="s">
        <v>18</v>
      </c>
    </row>
    <row r="3" spans="1:4" x14ac:dyDescent="0.2">
      <c r="A3" s="4" t="s">
        <v>46</v>
      </c>
      <c r="B3" s="4">
        <v>2</v>
      </c>
      <c r="C3" s="4" t="s">
        <v>50</v>
      </c>
      <c r="D3" s="4" t="s">
        <v>49</v>
      </c>
    </row>
    <row r="4" spans="1:4" x14ac:dyDescent="0.2">
      <c r="A4" s="4" t="s">
        <v>51</v>
      </c>
      <c r="B4" s="4">
        <v>3</v>
      </c>
      <c r="C4" s="4" t="s">
        <v>21</v>
      </c>
      <c r="D4" s="4" t="s">
        <v>22</v>
      </c>
    </row>
    <row r="5" spans="1:4" x14ac:dyDescent="0.2">
      <c r="A5" s="4" t="s">
        <v>52</v>
      </c>
      <c r="B5" s="4">
        <v>4</v>
      </c>
      <c r="C5" s="4" t="s">
        <v>47</v>
      </c>
      <c r="D5" s="4" t="s">
        <v>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Diagrams B</vt:lpstr>
      <vt:lpstr>Diagram 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Joran Nathoe</dc:creator>
  <cp:lastModifiedBy>Joran Nathoe</cp:lastModifiedBy>
  <dcterms:created xsi:type="dcterms:W3CDTF">2026-01-28T14:59:28Z</dcterms:created>
  <dcterms:modified xsi:type="dcterms:W3CDTF">2026-09-20T10:24:26Z</dcterms:modified>
</cp:coreProperties>
</file>